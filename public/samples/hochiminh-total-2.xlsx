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pda\OneDrive\바탕 화면\Downloads\NOBLECOCO_v1.4_upload_fix_1\roopang\docs\실무자_참고파일\두번째준거\"/>
    </mc:Choice>
  </mc:AlternateContent>
  <xr:revisionPtr revIDLastSave="0" documentId="8_{B5A287D1-6EC2-4104-BCDB-EBD35F46C93D}" xr6:coauthVersionLast="47" xr6:coauthVersionMax="47" xr10:uidLastSave="{00000000-0000-0000-0000-000000000000}"/>
  <bookViews>
    <workbookView xWindow="5385" yWindow="6218" windowWidth="31605" windowHeight="14662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1" l="1"/>
  <c r="U44" i="1"/>
  <c r="T44" i="1"/>
</calcChain>
</file>

<file path=xl/sharedStrings.xml><?xml version="1.0" encoding="utf-8"?>
<sst xmlns="http://schemas.openxmlformats.org/spreadsheetml/2006/main" count="204" uniqueCount="150">
  <si>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</si>
  <si>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</si>
  <si>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</si>
  <si>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</si>
  <si>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</si>
  <si>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</si>
  <si>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</si>
  <si>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</si>
  <si>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FISGN260276</t>
  </si>
  <si>
    <t>FISGN260338</t>
  </si>
  <si>
    <t>FISGN260339</t>
  </si>
  <si>
    <t>FISGN260344</t>
  </si>
  <si>
    <t>FISGN260348</t>
  </si>
  <si>
    <t>FISGN260354</t>
  </si>
  <si>
    <t>FISGN260356</t>
  </si>
  <si>
    <t>FISGN260367</t>
  </si>
  <si>
    <t>FISGN260369</t>
  </si>
  <si>
    <t>FISGN260370</t>
  </si>
  <si>
    <t>FISGN260374</t>
  </si>
  <si>
    <t>FISGN260376</t>
  </si>
  <si>
    <t>FISGN260377</t>
  </si>
  <si>
    <t>FISGN260383</t>
  </si>
  <si>
    <t>FISGN260384</t>
  </si>
  <si>
    <t>FISGN260388</t>
  </si>
  <si>
    <t>페어콘라인㈜</t>
  </si>
  <si>
    <t>서울특별시 중구 을지로 16(을지로 1가, 백남빌딩 11층)</t>
  </si>
  <si>
    <t>AITA2600013-1</t>
  </si>
  <si>
    <t>CHUN KYUNG SHIPPING CO.,LTD.</t>
  </si>
  <si>
    <t>SAWASDEE DENEB  / 2604S</t>
  </si>
  <si>
    <t>페어허브물류 주식회사</t>
  </si>
  <si>
    <t>DEST</t>
  </si>
  <si>
    <t>Booking No</t>
  </si>
  <si>
    <t>FISGN260332</t>
  </si>
  <si>
    <t>FISGN260368</t>
  </si>
  <si>
    <t>FISGN260371</t>
  </si>
  <si>
    <t>FISGN260375</t>
  </si>
  <si>
    <t>FISGN260378</t>
  </si>
  <si>
    <t>FISGN260381</t>
  </si>
  <si>
    <t>FISGN260382</t>
  </si>
  <si>
    <t>FISGN260385</t>
  </si>
  <si>
    <t>FISGN260386</t>
  </si>
  <si>
    <t>FISGN260391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</si>
  <si>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</si>
  <si>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</si>
  <si>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</si>
  <si>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</si>
  <si>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</si>
  <si>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</si>
  <si>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</si>
  <si>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</si>
  <si>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</si>
  <si>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</si>
  <si>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</si>
  <si>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</si>
  <si>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제임스텍</t>
  </si>
  <si>
    <t>AMS</t>
  </si>
  <si>
    <t>한국쎄미텍</t>
  </si>
  <si>
    <t>중앙바이오텍</t>
  </si>
  <si>
    <t>유라</t>
  </si>
  <si>
    <t>효성</t>
  </si>
  <si>
    <t>KIOSKIN</t>
  </si>
  <si>
    <t>리브유</t>
  </si>
  <si>
    <t>디씨이메탈</t>
  </si>
  <si>
    <t>전영사</t>
  </si>
  <si>
    <t>로제화장품</t>
  </si>
  <si>
    <t>SD KOREA</t>
  </si>
  <si>
    <t>스톰테크</t>
  </si>
  <si>
    <t>일라</t>
  </si>
  <si>
    <t>SJI</t>
  </si>
  <si>
    <t>KFTS</t>
  </si>
  <si>
    <t>삼원절연</t>
  </si>
  <si>
    <t>파인 파인비나</t>
  </si>
  <si>
    <t>블루오션</t>
  </si>
  <si>
    <t>파인비나</t>
  </si>
  <si>
    <t>장안어패럴</t>
  </si>
  <si>
    <t>한성엔터프라이즈</t>
  </si>
  <si>
    <t>SJIT</t>
  </si>
  <si>
    <t>이구산업</t>
  </si>
  <si>
    <t>화인써키트</t>
  </si>
  <si>
    <t>케이티엔테크놀러지</t>
  </si>
  <si>
    <t>2026-04-06</t>
  </si>
  <si>
    <t>김송하책임님</t>
  </si>
  <si>
    <t xml:space="preserve">화주 </t>
  </si>
  <si>
    <t xml:space="preserve">영천항운 / </t>
  </si>
  <si>
    <t xml:space="preserve">우주CMS  / </t>
  </si>
  <si>
    <t xml:space="preserve">한큐한신 김원기 / </t>
  </si>
  <si>
    <t xml:space="preserve">아이로지스코리아 / </t>
  </si>
  <si>
    <t xml:space="preserve">현대글로비스 / </t>
  </si>
  <si>
    <t xml:space="preserve">효성/한소영 / </t>
  </si>
  <si>
    <t xml:space="preserve">N/키오스킨  / </t>
  </si>
  <si>
    <t xml:space="preserve">EXW N/리브유  / </t>
  </si>
  <si>
    <t xml:space="preserve">세아로지스틱스  / </t>
  </si>
  <si>
    <t xml:space="preserve">카고러쉬 / </t>
  </si>
  <si>
    <t xml:space="preserve">KGL / </t>
  </si>
  <si>
    <t xml:space="preserve">노아툼 / </t>
  </si>
  <si>
    <t xml:space="preserve">아리아 이서진 / </t>
  </si>
  <si>
    <t xml:space="preserve">제이피트랜스 / </t>
  </si>
  <si>
    <t xml:space="preserve">이도 이솔 / </t>
  </si>
  <si>
    <t xml:space="preserve">비앤피 손은지 / </t>
  </si>
  <si>
    <t xml:space="preserve">KTL 민선홍 / </t>
  </si>
  <si>
    <t xml:space="preserve">KTL 김슬기 / </t>
  </si>
  <si>
    <t xml:space="preserve">KTL 노유영 / </t>
  </si>
  <si>
    <t xml:space="preserve">KGL  / </t>
  </si>
  <si>
    <t xml:space="preserve">SNB LOGISTICS  / </t>
  </si>
  <si>
    <t>2026-04-15</t>
  </si>
  <si>
    <t>Q'TY</t>
  </si>
  <si>
    <t>CT</t>
  </si>
  <si>
    <t>BL</t>
  </si>
  <si>
    <t>PL</t>
  </si>
  <si>
    <t>BX</t>
  </si>
  <si>
    <t>WC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</si>
  <si>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</si>
  <si>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</si>
  <si>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</si>
  <si>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</si>
  <si>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</si>
  <si>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</si>
  <si>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</si>
  <si>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</si>
  <si>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</si>
  <si>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IN2602499</t>
  </si>
  <si>
    <t xml:space="preserve"> / </t>
  </si>
  <si>
    <t>선광신컨테이너터미널보세창고 (02012014)</t>
  </si>
  <si>
    <t>ABOUT</t>
  </si>
  <si>
    <t>:</t>
  </si>
  <si>
    <t>02-772-2602</t>
  </si>
  <si>
    <t>REMARK</t>
  </si>
  <si>
    <t>110*110*180</t>
  </si>
  <si>
    <t>120*85*180</t>
  </si>
  <si>
    <t xml:space="preserve">보관료웨이브 
</t>
  </si>
  <si>
    <t>*다단금지*/ 130*110*100</t>
  </si>
  <si>
    <t>110*110*143X2, 110*110*151X2, 110*110*125, 110*110*118</t>
  </si>
  <si>
    <t>90*90*80</t>
  </si>
  <si>
    <t>110*110*125, 150, 170</t>
  </si>
  <si>
    <t>110*120*95x3, 110*120*157x3</t>
  </si>
  <si>
    <t>120*120*187, 120*120*137, 120*120*112</t>
  </si>
  <si>
    <t>150*120*170</t>
  </si>
  <si>
    <t>2PL-110*110*140</t>
  </si>
  <si>
    <t>110*92*106, 86*63*75</t>
  </si>
  <si>
    <t>116**55*74, 110*110*143X2, 110*110*152X2</t>
  </si>
  <si>
    <t>110*110*150,165, 175, 180</t>
  </si>
  <si>
    <t>110*110*160 , 110*110*180</t>
  </si>
  <si>
    <t xml:space="preserve">110*110*141, 110*110*135, 110*110*84
</t>
  </si>
  <si>
    <t>60*60*40X14, 106*106*117</t>
  </si>
  <si>
    <t>110*110*73, 110*110*55</t>
  </si>
  <si>
    <t>VGM :                   KGS</t>
  </si>
  <si>
    <t>2026-04-02</t>
  </si>
  <si>
    <t>1/1</t>
  </si>
  <si>
    <t>110*110*150, 110*110*150, 110*110*130</t>
  </si>
  <si>
    <t>110*110*150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</si>
</sst>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7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3" fillId="30" borderId="29"/>
  </cellStyleXfs>
  <cellXfs count="60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5" fillId="15" borderId="14" xfId="0" applyFont="1" applyFill="1" applyBorder="1" applyAlignment="1">
      <alignment horizontal="right" vertical="center" wrapText="1"/>
    </xf>
    <xf numFmtId="0" fontId="16" fillId="16" borderId="15" xfId="0" applyFont="1" applyFill="1" applyBorder="1" applyAlignment="1">
      <alignment horizontal="center" vertical="center" wrapText="1"/>
    </xf>
    <xf numFmtId="4" fontId="23" fillId="22" borderId="2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1" fillId="30" borderId="29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49" fontId="10" fillId="10" borderId="9" xfId="0" applyNumberFormat="1" applyFont="1" applyFill="1" applyBorder="1" applyAlignment="1">
      <alignment horizontal="left" vertical="center" wrapText="1"/>
    </xf>
    <xf numFmtId="49" fontId="11" fillId="11" borderId="10" xfId="0" applyNumberFormat="1" applyFont="1" applyFill="1" applyBorder="1" applyAlignment="1">
      <alignment horizontal="left" vertical="top" wrapText="1"/>
    </xf>
    <xf numFmtId="49" fontId="12" fillId="12" borderId="11" xfId="0" applyNumberFormat="1" applyFont="1" applyFill="1" applyBorder="1" applyAlignment="1">
      <alignment horizontal="left" vertical="center" wrapText="1"/>
    </xf>
    <xf numFmtId="49" fontId="13" fillId="13" borderId="12" xfId="0" applyNumberFormat="1" applyFont="1" applyFill="1" applyBorder="1" applyAlignment="1">
      <alignment horizontal="left" vertical="center" wrapText="1"/>
    </xf>
    <xf numFmtId="49" fontId="14" fillId="14" borderId="13" xfId="0" applyNumberFormat="1" applyFont="1" applyFill="1" applyBorder="1" applyAlignment="1">
      <alignment horizontal="left" vertical="center" wrapText="1"/>
    </xf>
    <xf numFmtId="0" fontId="18" fillId="17" borderId="16" xfId="0" applyFont="1" applyFill="1" applyBorder="1" applyAlignment="1">
      <alignment horizontal="center" vertical="center" wrapText="1"/>
    </xf>
    <xf numFmtId="0" fontId="19" fillId="18" borderId="17" xfId="0" applyFont="1" applyFill="1" applyBorder="1" applyAlignment="1">
      <alignment horizontal="center" vertical="center" wrapText="1"/>
    </xf>
    <xf numFmtId="49" fontId="20" fillId="19" borderId="18" xfId="0" applyNumberFormat="1" applyFont="1" applyFill="1" applyBorder="1" applyAlignment="1">
      <alignment horizontal="center" vertical="center" wrapText="1"/>
    </xf>
    <xf numFmtId="3" fontId="21" fillId="20" borderId="19" xfId="0" applyNumberFormat="1" applyFont="1" applyFill="1" applyBorder="1" applyAlignment="1">
      <alignment horizontal="right" vertical="center" wrapText="1"/>
    </xf>
    <xf numFmtId="0" fontId="22" fillId="21" borderId="20" xfId="0" applyFont="1" applyFill="1" applyBorder="1" applyAlignment="1">
      <alignment horizontal="left" vertical="center" wrapText="1"/>
    </xf>
    <xf numFmtId="49" fontId="25" fillId="24" borderId="23" xfId="0" applyNumberFormat="1" applyFont="1" applyFill="1" applyBorder="1" applyAlignment="1">
      <alignment horizontal="left" vertical="center" wrapText="1"/>
    </xf>
    <xf numFmtId="0" fontId="26" fillId="25" borderId="24" xfId="0" applyFont="1" applyFill="1" applyBorder="1" applyAlignment="1">
      <alignment horizontal="left" vertical="center" wrapText="1"/>
    </xf>
    <xf numFmtId="49" fontId="27" fillId="26" borderId="25" xfId="0" applyNumberFormat="1" applyFont="1" applyFill="1" applyBorder="1" applyAlignment="1">
      <alignment horizontal="center" vertical="center" wrapText="1"/>
    </xf>
    <xf numFmtId="0" fontId="28" fillId="27" borderId="26" xfId="0" applyFont="1" applyFill="1" applyBorder="1" applyAlignment="1">
      <alignment horizontal="center" vertical="center" wrapText="1"/>
    </xf>
    <xf numFmtId="4" fontId="24" fillId="23" borderId="22" xfId="0" applyNumberFormat="1" applyFont="1" applyFill="1" applyBorder="1" applyAlignment="1">
      <alignment horizontal="right" vertical="center" wrapText="1"/>
    </xf>
    <xf numFmtId="0" fontId="29" fillId="28" borderId="27" xfId="0" applyFont="1" applyFill="1" applyBorder="1" applyAlignment="1">
      <alignment horizontal="center" vertical="center" wrapText="1"/>
    </xf>
    <xf numFmtId="0" fontId="30" fillId="29" borderId="28" xfId="0" applyFont="1" applyFill="1" applyBorder="1" applyAlignment="1">
      <alignment horizontal="left" vertical="center" wrapText="1"/>
    </xf>
    <xf numFmtId="3" fontId="34" fillId="30" borderId="30" xfId="1" applyNumberFormat="1" applyFont="1" applyFill="1" applyBorder="1" applyAlignment="1" applyProtection="1">
      <alignment horizontal="center" vertical="center" wrapText="1"/>
    </xf>
    <xf numFmtId="0" fontId="34" fillId="30" borderId="31" xfId="1" applyNumberFormat="1" applyFont="1" applyFill="1" applyBorder="1" applyAlignment="1" applyProtection="1">
      <alignment horizontal="center" vertical="center" wrapText="1"/>
    </xf>
    <xf numFmtId="0" fontId="35" fillId="30" borderId="31" xfId="1" applyNumberFormat="1" applyFont="1" applyFill="1" applyBorder="1" applyAlignment="1" applyProtection="1">
      <alignment horizontal="center" vertical="center" wrapText="1"/>
    </xf>
    <xf numFmtId="49" fontId="35" fillId="30" borderId="31" xfId="1" applyNumberFormat="1" applyFont="1" applyFill="1" applyBorder="1" applyAlignment="1" applyProtection="1">
      <alignment horizontal="center" vertical="center" wrapText="1"/>
    </xf>
    <xf numFmtId="3" fontId="34" fillId="30" borderId="31" xfId="1" applyNumberFormat="1" applyFont="1" applyFill="1" applyBorder="1" applyAlignment="1" applyProtection="1">
      <alignment horizontal="right" vertical="center" wrapText="1"/>
    </xf>
    <xf numFmtId="49" fontId="34" fillId="30" borderId="31" xfId="1" applyNumberFormat="1" applyFont="1" applyFill="1" applyBorder="1" applyAlignment="1" applyProtection="1">
      <alignment horizontal="center" vertical="center" wrapText="1"/>
    </xf>
    <xf numFmtId="4" fontId="34" fillId="30" borderId="31" xfId="1" applyNumberFormat="1" applyFont="1" applyFill="1" applyBorder="1" applyAlignment="1" applyProtection="1">
      <alignment horizontal="right" vertical="center" wrapText="1"/>
    </xf>
    <xf numFmtId="0" fontId="35" fillId="30" borderId="31" xfId="1" applyNumberFormat="1" applyFont="1" applyFill="1" applyBorder="1" applyAlignment="1" applyProtection="1">
      <alignment horizontal="left" vertical="center" wrapText="1"/>
    </xf>
    <xf numFmtId="49" fontId="35" fillId="30" borderId="31" xfId="1" applyNumberFormat="1" applyFont="1" applyFill="1" applyBorder="1" applyAlignment="1" applyProtection="1">
      <alignment horizontal="left" vertical="center" wrapText="1"/>
    </xf>
    <xf numFmtId="4" fontId="34" fillId="30" borderId="31" xfId="1" applyNumberFormat="1" applyFont="1" applyFill="1" applyBorder="1" applyAlignment="1" applyProtection="1">
      <alignment horizontal="right" vertical="center" wrapText="1"/>
    </xf>
    <xf numFmtId="49" fontId="34" fillId="30" borderId="31" xfId="1" applyNumberFormat="1" applyFont="1" applyFill="1" applyBorder="1" applyAlignment="1" applyProtection="1">
      <alignment horizontal="left" vertical="center" wrapText="1"/>
    </xf>
    <xf numFmtId="0" fontId="34" fillId="30" borderId="31" xfId="1" applyNumberFormat="1" applyFont="1" applyFill="1" applyBorder="1" applyAlignment="1" applyProtection="1">
      <alignment horizontal="left" vertical="center" wrapText="1"/>
    </xf>
    <xf numFmtId="3" fontId="7" fillId="30" borderId="7" xfId="0" applyNumberFormat="1" applyFont="1" applyFill="1" applyBorder="1" applyAlignment="1">
      <alignment horizontal="center" vertical="center" wrapText="1"/>
    </xf>
    <xf numFmtId="3" fontId="34" fillId="30" borderId="30" xfId="1" applyNumberFormat="1" applyFont="1" applyFill="1" applyBorder="1" applyAlignment="1" applyProtection="1">
      <alignment horizontal="center" vertical="center" wrapText="1"/>
    </xf>
    <xf numFmtId="0" fontId="34" fillId="30" borderId="31" xfId="1" applyNumberFormat="1" applyFont="1" applyFill="1" applyBorder="1" applyAlignment="1" applyProtection="1">
      <alignment horizontal="center" vertical="center" wrapText="1"/>
    </xf>
    <xf numFmtId="0" fontId="35" fillId="30" borderId="31" xfId="1" applyNumberFormat="1" applyFont="1" applyFill="1" applyBorder="1" applyAlignment="1" applyProtection="1">
      <alignment horizontal="center" vertical="center" wrapText="1"/>
    </xf>
    <xf numFmtId="3" fontId="34" fillId="30" borderId="31" xfId="1" applyNumberFormat="1" applyFont="1" applyFill="1" applyBorder="1" applyAlignment="1" applyProtection="1">
      <alignment horizontal="right" vertical="center" wrapText="1"/>
    </xf>
    <xf numFmtId="49" fontId="34" fillId="30" borderId="31" xfId="1" applyNumberFormat="1" applyFont="1" applyFill="1" applyBorder="1" applyAlignment="1" applyProtection="1">
      <alignment horizontal="center" vertical="center" wrapText="1"/>
    </xf>
    <xf numFmtId="4" fontId="34" fillId="30" borderId="31" xfId="1" applyNumberFormat="1" applyFont="1" applyFill="1" applyBorder="1" applyAlignment="1" applyProtection="1">
      <alignment horizontal="right" vertical="center" wrapText="1"/>
    </xf>
    <xf numFmtId="49" fontId="7" fillId="30" borderId="28" xfId="0" applyNumberFormat="1" applyFont="1" applyFill="1" applyBorder="1" applyAlignment="1">
      <alignment horizontal="left" vertical="center" wrapText="1"/>
    </xf>
    <xf numFmtId="0" fontId="7" fillId="30" borderId="28" xfId="0" applyFont="1" applyFill="1" applyBorder="1" applyAlignment="1">
      <alignment horizontal="center" vertical="center" wrapText="1"/>
    </xf>
    <xf numFmtId="0" fontId="17" fillId="30" borderId="28" xfId="0" applyFont="1" applyFill="1" applyBorder="1" applyAlignment="1">
      <alignment horizontal="center" vertical="center" wrapText="1"/>
    </xf>
    <xf numFmtId="3" fontId="7" fillId="30" borderId="28" xfId="0" applyNumberFormat="1" applyFont="1" applyFill="1" applyBorder="1" applyAlignment="1">
      <alignment horizontal="right" vertical="center" wrapText="1"/>
    </xf>
    <xf numFmtId="49" fontId="7" fillId="30" borderId="28" xfId="0" applyNumberFormat="1" applyFont="1" applyFill="1" applyBorder="1" applyAlignment="1">
      <alignment horizontal="center" vertical="center" wrapText="1"/>
    </xf>
    <xf numFmtId="4" fontId="7" fillId="30" borderId="28" xfId="0" applyNumberFormat="1" applyFont="1" applyFill="1" applyBorder="1" applyAlignment="1">
      <alignment horizontal="right" vertical="center" wrapText="1"/>
    </xf>
    <xf numFmtId="4" fontId="7" fillId="30" borderId="28" xfId="0" applyNumberFormat="1" applyFont="1" applyFill="1" applyBorder="1" applyAlignment="1">
      <alignment horizontal="right" vertical="center" wrapText="1"/>
    </xf>
    <xf numFmtId="49" fontId="17" fillId="30" borderId="28" xfId="0" applyNumberFormat="1" applyFont="1" applyFill="1" applyBorder="1" applyAlignment="1">
      <alignment horizontal="left" vertical="center" wrapText="1"/>
    </xf>
    <xf numFmtId="0" fontId="7" fillId="30" borderId="28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C99E2DFC-AC66-4161-B8F5-85A9895E5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showGridLines="0" tabSelected="1" topLeftCell="A2" workbookViewId="0">
      <selection activeCell="K25" sqref="K25"/>
    </sheetView>
  </sheetViews>
  <sheetFormatPr defaultRowHeight="14.25" x14ac:dyDescent="0.45"/>
  <cols>
    <col min="1" max="1" width="4.265625" customWidth="1"/>
    <col min="2" max="2" width="3.3984375" customWidth="1"/>
    <col min="3" max="3" width="0.53125" customWidth="1"/>
    <col min="4" max="4" width="6.53125" customWidth="1"/>
    <col min="5" max="5" width="7.73046875" customWidth="1"/>
    <col min="6" max="6" width="9" customWidth="1"/>
    <col min="7" max="7" width="3.265625" customWidth="1"/>
    <col min="8" max="8" width="7.531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3125" customWidth="1"/>
    <col min="20" max="20" width="9.531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3125" customWidth="1"/>
    <col min="27" max="27" width="6.3984375" customWidth="1"/>
    <col min="28" max="29" width="0.73046875" customWidth="1"/>
  </cols>
  <sheetData>
    <row r="1" spans="1:29" ht="19.5" customHeight="1" x14ac:dyDescent="0.45"/>
    <row r="2" spans="1:29" ht="15" customHeight="1" x14ac:dyDescent="0.45">
      <c r="A2" s="6"/>
      <c r="B2" s="6"/>
      <c r="D2" s="15" t="s">
        <v>24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25" t="s">
        <v>118</v>
      </c>
      <c r="W2" s="25"/>
      <c r="X2" s="25"/>
      <c r="Y2" s="25"/>
      <c r="Z2" s="25"/>
      <c r="AA2" s="25"/>
      <c r="AB2" s="25"/>
      <c r="AC2" s="25"/>
    </row>
    <row r="3" spans="1:29" ht="1.5" customHeight="1" x14ac:dyDescent="0.45">
      <c r="A3" s="6"/>
      <c r="B3" s="6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26" t="s">
        <v>119</v>
      </c>
      <c r="W3" s="30" t="s">
        <v>124</v>
      </c>
      <c r="X3" s="25" t="s">
        <v>125</v>
      </c>
      <c r="Y3" s="25"/>
      <c r="Z3" s="25"/>
      <c r="AA3" s="25"/>
      <c r="AB3" s="25"/>
      <c r="AC3" s="25"/>
    </row>
    <row r="4" spans="1:29" ht="3" customHeight="1" x14ac:dyDescent="0.45">
      <c r="A4" s="6"/>
      <c r="B4" s="6"/>
      <c r="V4" s="26"/>
      <c r="W4" s="30"/>
      <c r="X4" s="25"/>
      <c r="Y4" s="25"/>
      <c r="Z4" s="25"/>
      <c r="AA4" s="25"/>
      <c r="AB4" s="25"/>
      <c r="AC4" s="25"/>
    </row>
    <row r="5" spans="1:29" ht="11.25" customHeight="1" x14ac:dyDescent="0.45">
      <c r="A5" s="6"/>
      <c r="B5" s="6"/>
      <c r="D5" s="16" t="s">
        <v>25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6"/>
      <c r="W5" s="30"/>
      <c r="X5" s="25"/>
      <c r="Y5" s="25"/>
      <c r="Z5" s="25"/>
      <c r="AA5" s="25"/>
      <c r="AB5" s="25"/>
      <c r="AC5" s="25"/>
    </row>
    <row r="6" spans="1:29" ht="2.25" customHeight="1" x14ac:dyDescent="0.45"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6"/>
      <c r="W6" s="30"/>
      <c r="X6" s="25"/>
      <c r="Y6" s="25"/>
      <c r="Z6" s="25"/>
      <c r="AA6" s="25"/>
      <c r="AB6" s="25"/>
      <c r="AC6" s="25"/>
    </row>
    <row r="7" spans="1:29" ht="1.5" customHeight="1" x14ac:dyDescent="0.45"/>
    <row r="8" spans="1:29" ht="2.25" customHeight="1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9" ht="10.5" customHeight="1" x14ac:dyDescent="0.45">
      <c r="A9" s="8" t="s">
        <v>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 t="s">
        <v>146</v>
      </c>
      <c r="AA9" s="9"/>
      <c r="AB9" s="8"/>
    </row>
    <row r="10" spans="1:29" ht="11.25" customHeight="1" x14ac:dyDescent="0.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 t="s">
        <v>147</v>
      </c>
      <c r="AA10" s="8"/>
      <c r="AB10" s="8"/>
    </row>
    <row r="11" spans="1:29" ht="1.5" customHeight="1" x14ac:dyDescent="0.4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9" ht="1.5" customHeight="1" x14ac:dyDescent="0.45"/>
    <row r="13" spans="1:29" ht="18" customHeight="1" x14ac:dyDescent="0.45">
      <c r="A13" s="10" t="s">
        <v>1</v>
      </c>
      <c r="B13" s="10"/>
      <c r="C13" s="10"/>
      <c r="D13" s="10"/>
      <c r="E13" s="17" t="s">
        <v>26</v>
      </c>
      <c r="F13" s="17"/>
      <c r="G13" s="17"/>
      <c r="H13" s="3" t="s">
        <v>42</v>
      </c>
      <c r="I13" s="17" t="s">
        <v>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4" t="s">
        <v>112</v>
      </c>
      <c r="U13" s="24"/>
      <c r="V13" s="17" t="s">
        <v>120</v>
      </c>
      <c r="W13" s="17"/>
      <c r="X13" s="17"/>
      <c r="Y13" s="17"/>
      <c r="Z13" s="17"/>
      <c r="AA13" s="17"/>
      <c r="AB13" s="17"/>
      <c r="AC13" s="17"/>
    </row>
    <row r="14" spans="1:29" ht="14.25" customHeight="1" x14ac:dyDescent="0.45">
      <c r="A14" s="11" t="s">
        <v>2</v>
      </c>
      <c r="B14" s="11"/>
      <c r="C14" s="11"/>
      <c r="D14" s="11"/>
      <c r="E14" s="18" t="s">
        <v>27</v>
      </c>
      <c r="F14" s="18"/>
      <c r="G14" s="18"/>
      <c r="H14" s="18"/>
      <c r="I14" s="18"/>
      <c r="J14" s="18"/>
      <c r="K14" s="18"/>
      <c r="L14" s="14" t="s">
        <v>47</v>
      </c>
      <c r="M14" s="14"/>
      <c r="N14" s="14"/>
      <c r="O14" s="21"/>
      <c r="P14" s="21"/>
      <c r="Q14" s="21"/>
      <c r="R14" s="21"/>
      <c r="S14" s="21"/>
      <c r="T14" s="14" t="s">
        <v>113</v>
      </c>
      <c r="U14" s="14"/>
      <c r="V14" s="27" t="s">
        <v>121</v>
      </c>
      <c r="W14" s="27"/>
      <c r="X14" s="27"/>
      <c r="Y14" s="27"/>
      <c r="Z14" s="27"/>
      <c r="AA14" s="27"/>
      <c r="AB14" s="27"/>
      <c r="AC14" s="27"/>
    </row>
    <row r="15" spans="1:29" ht="13.5" customHeight="1" x14ac:dyDescent="0.45">
      <c r="A15" s="12" t="s">
        <v>3</v>
      </c>
      <c r="B15" s="12"/>
      <c r="C15" s="12"/>
      <c r="D15" s="12"/>
      <c r="E15" s="19" t="s">
        <v>28</v>
      </c>
      <c r="F15" s="19"/>
      <c r="G15" s="19"/>
      <c r="H15" s="19"/>
      <c r="I15" s="19"/>
      <c r="J15" s="19"/>
      <c r="K15" s="19"/>
      <c r="L15" s="20" t="s">
        <v>48</v>
      </c>
      <c r="M15" s="20"/>
      <c r="N15" s="20"/>
      <c r="O15" s="22" t="s">
        <v>80</v>
      </c>
      <c r="P15" s="22"/>
      <c r="Q15" s="22" t="s">
        <v>104</v>
      </c>
      <c r="R15" s="22"/>
      <c r="S15" s="22"/>
      <c r="T15" s="20" t="s">
        <v>114</v>
      </c>
      <c r="U15" s="20"/>
      <c r="V15" s="22" t="s">
        <v>122</v>
      </c>
      <c r="W15" s="22"/>
      <c r="X15" s="22"/>
      <c r="Y15" s="22"/>
      <c r="Z15" s="22"/>
      <c r="AA15" s="22"/>
      <c r="AB15" s="22"/>
      <c r="AC15" s="22"/>
    </row>
    <row r="16" spans="1:29" ht="14.25" customHeight="1" x14ac:dyDescent="0.45">
      <c r="A16" s="12" t="s">
        <v>4</v>
      </c>
      <c r="B16" s="12"/>
      <c r="C16" s="12"/>
      <c r="D16" s="12"/>
      <c r="E16" s="19" t="s">
        <v>29</v>
      </c>
      <c r="F16" s="19"/>
      <c r="G16" s="19"/>
      <c r="H16" s="19"/>
      <c r="I16" s="19"/>
      <c r="J16" s="19"/>
      <c r="K16" s="19"/>
      <c r="L16" s="20" t="s">
        <v>49</v>
      </c>
      <c r="M16" s="20"/>
      <c r="N16" s="20"/>
      <c r="O16" s="22" t="s">
        <v>81</v>
      </c>
      <c r="P16" s="22"/>
      <c r="Q16" s="22"/>
      <c r="R16" s="22"/>
      <c r="S16" s="22"/>
      <c r="T16" s="20" t="s">
        <v>115</v>
      </c>
      <c r="U16" s="20"/>
      <c r="V16" s="28"/>
      <c r="W16" s="28"/>
      <c r="X16" s="28"/>
      <c r="Y16" s="28"/>
      <c r="Z16" s="28"/>
      <c r="AA16" s="28"/>
      <c r="AB16" s="28"/>
      <c r="AC16" s="28"/>
    </row>
    <row r="17" spans="1:29" ht="14.25" customHeight="1" x14ac:dyDescent="0.45">
      <c r="A17" s="1" t="s">
        <v>5</v>
      </c>
      <c r="B17" s="14" t="s">
        <v>7</v>
      </c>
      <c r="C17" s="14"/>
      <c r="D17" s="14"/>
      <c r="E17" s="14"/>
      <c r="F17" s="2" t="s">
        <v>30</v>
      </c>
      <c r="G17" s="14" t="s">
        <v>31</v>
      </c>
      <c r="H17" s="14"/>
      <c r="I17" s="14"/>
      <c r="J17" s="4" t="s">
        <v>44</v>
      </c>
      <c r="K17" s="4" t="s">
        <v>45</v>
      </c>
      <c r="L17" s="4" t="s">
        <v>50</v>
      </c>
      <c r="M17" s="4" t="s">
        <v>51</v>
      </c>
      <c r="N17" s="14" t="s">
        <v>53</v>
      </c>
      <c r="O17" s="14"/>
      <c r="P17" s="14" t="s">
        <v>82</v>
      </c>
      <c r="Q17" s="14"/>
      <c r="R17" s="14" t="s">
        <v>105</v>
      </c>
      <c r="S17" s="14"/>
      <c r="T17" s="2" t="s">
        <v>116</v>
      </c>
      <c r="U17" s="2" t="s">
        <v>117</v>
      </c>
      <c r="V17" s="14" t="s">
        <v>123</v>
      </c>
      <c r="W17" s="14"/>
      <c r="X17" s="14"/>
      <c r="Y17" s="14" t="s">
        <v>126</v>
      </c>
      <c r="Z17" s="14"/>
      <c r="AA17" s="14"/>
      <c r="AB17" s="14"/>
      <c r="AC17" s="14"/>
    </row>
    <row r="18" spans="1:29" ht="15" customHeight="1" x14ac:dyDescent="0.45">
      <c r="A18" s="32">
        <v>1</v>
      </c>
      <c r="B18" s="42" t="s">
        <v>9</v>
      </c>
      <c r="C18" s="42"/>
      <c r="D18" s="42"/>
      <c r="E18" s="42"/>
      <c r="F18" s="33"/>
      <c r="G18" s="42" t="s">
        <v>9</v>
      </c>
      <c r="H18" s="42"/>
      <c r="I18" s="42"/>
      <c r="J18" s="34"/>
      <c r="K18" s="34"/>
      <c r="L18" s="34"/>
      <c r="M18" s="34"/>
      <c r="N18" s="42" t="s">
        <v>55</v>
      </c>
      <c r="O18" s="42"/>
      <c r="P18" s="42" t="s">
        <v>84</v>
      </c>
      <c r="Q18" s="42"/>
      <c r="R18" s="36">
        <v>30</v>
      </c>
      <c r="S18" s="37" t="s">
        <v>107</v>
      </c>
      <c r="T18" s="38">
        <v>495</v>
      </c>
      <c r="U18" s="38">
        <v>5.07</v>
      </c>
      <c r="V18" s="41">
        <v>5.07</v>
      </c>
      <c r="W18" s="41"/>
      <c r="X18" s="41"/>
      <c r="Y18" s="39"/>
      <c r="Z18" s="39"/>
      <c r="AA18" s="39"/>
      <c r="AB18" s="39"/>
      <c r="AC18" s="39"/>
    </row>
    <row r="19" spans="1:29" ht="15" customHeight="1" x14ac:dyDescent="0.45">
      <c r="A19" s="32">
        <v>2</v>
      </c>
      <c r="B19" s="42" t="s">
        <v>10</v>
      </c>
      <c r="C19" s="42"/>
      <c r="D19" s="42"/>
      <c r="E19" s="42"/>
      <c r="F19" s="33"/>
      <c r="G19" s="42" t="s">
        <v>10</v>
      </c>
      <c r="H19" s="42"/>
      <c r="I19" s="42"/>
      <c r="J19" s="34"/>
      <c r="K19" s="34"/>
      <c r="L19" s="34"/>
      <c r="M19" s="34"/>
      <c r="N19" s="42" t="s">
        <v>56</v>
      </c>
      <c r="O19" s="42"/>
      <c r="P19" s="42" t="s">
        <v>85</v>
      </c>
      <c r="Q19" s="42"/>
      <c r="R19" s="36">
        <v>2</v>
      </c>
      <c r="S19" s="37" t="s">
        <v>108</v>
      </c>
      <c r="T19" s="38">
        <v>476</v>
      </c>
      <c r="U19" s="38">
        <v>0</v>
      </c>
      <c r="V19" s="41">
        <v>4.3559999999999999</v>
      </c>
      <c r="W19" s="41"/>
      <c r="X19" s="41"/>
      <c r="Y19" s="40" t="s">
        <v>127</v>
      </c>
      <c r="Z19" s="40"/>
      <c r="AA19" s="40"/>
      <c r="AB19" s="40"/>
      <c r="AC19" s="40"/>
    </row>
    <row r="20" spans="1:29" ht="15" customHeight="1" x14ac:dyDescent="0.45">
      <c r="A20" s="32">
        <v>3</v>
      </c>
      <c r="B20" s="42" t="s">
        <v>12</v>
      </c>
      <c r="C20" s="42"/>
      <c r="D20" s="42"/>
      <c r="E20" s="42"/>
      <c r="F20" s="33"/>
      <c r="G20" s="42" t="s">
        <v>12</v>
      </c>
      <c r="H20" s="42"/>
      <c r="I20" s="42"/>
      <c r="J20" s="34"/>
      <c r="K20" s="34"/>
      <c r="L20" s="34"/>
      <c r="M20" s="34"/>
      <c r="N20" s="42" t="s">
        <v>58</v>
      </c>
      <c r="O20" s="42"/>
      <c r="P20" s="42" t="s">
        <v>87</v>
      </c>
      <c r="Q20" s="42"/>
      <c r="R20" s="36">
        <v>7</v>
      </c>
      <c r="S20" s="37" t="s">
        <v>109</v>
      </c>
      <c r="T20" s="38">
        <v>72</v>
      </c>
      <c r="U20" s="38">
        <v>0</v>
      </c>
      <c r="V20" s="41">
        <v>0.82799999999999996</v>
      </c>
      <c r="W20" s="41"/>
      <c r="X20" s="41"/>
      <c r="Y20" s="40" t="s">
        <v>129</v>
      </c>
      <c r="Z20" s="40"/>
      <c r="AA20" s="40"/>
      <c r="AB20" s="40"/>
      <c r="AC20" s="40"/>
    </row>
    <row r="21" spans="1:29" ht="15" customHeight="1" x14ac:dyDescent="0.45">
      <c r="A21" s="32">
        <v>4</v>
      </c>
      <c r="B21" s="42" t="s">
        <v>14</v>
      </c>
      <c r="C21" s="42"/>
      <c r="D21" s="42"/>
      <c r="E21" s="42"/>
      <c r="F21" s="33"/>
      <c r="G21" s="42" t="s">
        <v>14</v>
      </c>
      <c r="H21" s="42"/>
      <c r="I21" s="42"/>
      <c r="J21" s="34"/>
      <c r="K21" s="34"/>
      <c r="L21" s="34"/>
      <c r="M21" s="35" t="s">
        <v>52</v>
      </c>
      <c r="N21" s="42" t="s">
        <v>60</v>
      </c>
      <c r="O21" s="42"/>
      <c r="P21" s="42" t="s">
        <v>89</v>
      </c>
      <c r="Q21" s="42"/>
      <c r="R21" s="36">
        <v>3</v>
      </c>
      <c r="S21" s="37" t="s">
        <v>108</v>
      </c>
      <c r="T21" s="38">
        <v>1047</v>
      </c>
      <c r="U21" s="38">
        <v>0</v>
      </c>
      <c r="V21" s="41">
        <v>5.2030000000000003</v>
      </c>
      <c r="W21" s="41"/>
      <c r="X21" s="41"/>
      <c r="Y21" s="40" t="s">
        <v>148</v>
      </c>
      <c r="Z21" s="40"/>
      <c r="AA21" s="40"/>
      <c r="AB21" s="40"/>
      <c r="AC21" s="40"/>
    </row>
    <row r="22" spans="1:29" ht="15" customHeight="1" x14ac:dyDescent="0.45">
      <c r="A22" s="32">
        <v>5</v>
      </c>
      <c r="B22" s="42" t="s">
        <v>17</v>
      </c>
      <c r="C22" s="42"/>
      <c r="D22" s="42"/>
      <c r="E22" s="42"/>
      <c r="F22" s="33"/>
      <c r="G22" s="42" t="s">
        <v>17</v>
      </c>
      <c r="H22" s="42"/>
      <c r="I22" s="42"/>
      <c r="J22" s="34"/>
      <c r="K22" s="34"/>
      <c r="L22" s="34"/>
      <c r="M22" s="34"/>
      <c r="N22" s="42" t="s">
        <v>63</v>
      </c>
      <c r="O22" s="42"/>
      <c r="P22" s="42" t="s">
        <v>92</v>
      </c>
      <c r="Q22" s="42"/>
      <c r="R22" s="36">
        <v>3</v>
      </c>
      <c r="S22" s="37" t="s">
        <v>106</v>
      </c>
      <c r="T22" s="38">
        <v>95</v>
      </c>
      <c r="U22" s="38">
        <v>0.23</v>
      </c>
      <c r="V22" s="41">
        <v>0.23</v>
      </c>
      <c r="W22" s="41"/>
      <c r="X22" s="41"/>
      <c r="Y22" s="39"/>
      <c r="Z22" s="39"/>
      <c r="AA22" s="39"/>
      <c r="AB22" s="39"/>
      <c r="AC22" s="39"/>
    </row>
    <row r="23" spans="1:29" ht="15" customHeight="1" x14ac:dyDescent="0.45">
      <c r="A23" s="32">
        <v>6</v>
      </c>
      <c r="B23" s="42" t="s">
        <v>19</v>
      </c>
      <c r="C23" s="42"/>
      <c r="D23" s="42"/>
      <c r="E23" s="42"/>
      <c r="F23" s="33"/>
      <c r="G23" s="42" t="s">
        <v>19</v>
      </c>
      <c r="H23" s="42"/>
      <c r="I23" s="42"/>
      <c r="J23" s="34"/>
      <c r="K23" s="34"/>
      <c r="L23" s="34"/>
      <c r="M23" s="34"/>
      <c r="N23" s="42" t="s">
        <v>65</v>
      </c>
      <c r="O23" s="42"/>
      <c r="P23" s="42" t="s">
        <v>94</v>
      </c>
      <c r="Q23" s="42"/>
      <c r="R23" s="36">
        <v>6</v>
      </c>
      <c r="S23" s="37" t="s">
        <v>108</v>
      </c>
      <c r="T23" s="38">
        <v>3910</v>
      </c>
      <c r="U23" s="38">
        <v>0</v>
      </c>
      <c r="V23" s="41">
        <v>9.4529999999999994</v>
      </c>
      <c r="W23" s="41"/>
      <c r="X23" s="41"/>
      <c r="Y23" s="40" t="s">
        <v>134</v>
      </c>
      <c r="Z23" s="40"/>
      <c r="AA23" s="40"/>
      <c r="AB23" s="40"/>
      <c r="AC23" s="40"/>
    </row>
    <row r="24" spans="1:29" ht="15" customHeight="1" x14ac:dyDescent="0.45">
      <c r="A24" s="32">
        <v>7</v>
      </c>
      <c r="B24" s="42" t="s">
        <v>38</v>
      </c>
      <c r="C24" s="42"/>
      <c r="D24" s="42"/>
      <c r="E24" s="42"/>
      <c r="F24" s="33"/>
      <c r="G24" s="42" t="s">
        <v>38</v>
      </c>
      <c r="H24" s="42"/>
      <c r="I24" s="42"/>
      <c r="J24" s="34"/>
      <c r="K24" s="34"/>
      <c r="L24" s="34"/>
      <c r="M24" s="34"/>
      <c r="N24" s="42" t="s">
        <v>76</v>
      </c>
      <c r="O24" s="42"/>
      <c r="P24" s="42" t="s">
        <v>96</v>
      </c>
      <c r="Q24" s="42"/>
      <c r="R24" s="36">
        <v>3</v>
      </c>
      <c r="S24" s="37" t="s">
        <v>108</v>
      </c>
      <c r="T24" s="38">
        <v>0</v>
      </c>
      <c r="U24" s="38">
        <v>0</v>
      </c>
      <c r="V24" s="41">
        <v>4.3680000000000003</v>
      </c>
      <c r="W24" s="41"/>
      <c r="X24" s="41"/>
      <c r="Y24" s="40" t="s">
        <v>142</v>
      </c>
      <c r="Z24" s="40"/>
      <c r="AA24" s="40"/>
      <c r="AB24" s="40"/>
      <c r="AC24" s="40"/>
    </row>
    <row r="25" spans="1:29" ht="15" customHeight="1" x14ac:dyDescent="0.45">
      <c r="A25" s="32">
        <v>8</v>
      </c>
      <c r="B25" s="42" t="s">
        <v>21</v>
      </c>
      <c r="C25" s="42"/>
      <c r="D25" s="42"/>
      <c r="E25" s="42"/>
      <c r="F25" s="33"/>
      <c r="G25" s="42" t="s">
        <v>21</v>
      </c>
      <c r="H25" s="42"/>
      <c r="I25" s="42"/>
      <c r="J25" s="34"/>
      <c r="K25" s="34"/>
      <c r="L25" s="34"/>
      <c r="M25" s="34"/>
      <c r="N25" s="42" t="s">
        <v>67</v>
      </c>
      <c r="O25" s="42"/>
      <c r="P25" s="42" t="s">
        <v>95</v>
      </c>
      <c r="Q25" s="42"/>
      <c r="R25" s="36">
        <v>4</v>
      </c>
      <c r="S25" s="37" t="s">
        <v>108</v>
      </c>
      <c r="T25" s="38">
        <v>2693</v>
      </c>
      <c r="U25" s="38">
        <v>0</v>
      </c>
      <c r="V25" s="41">
        <v>12.24</v>
      </c>
      <c r="W25" s="41"/>
      <c r="X25" s="41"/>
      <c r="Y25" s="40" t="s">
        <v>136</v>
      </c>
      <c r="Z25" s="40"/>
      <c r="AA25" s="40"/>
      <c r="AB25" s="40"/>
      <c r="AC25" s="40"/>
    </row>
    <row r="26" spans="1:29" ht="15" customHeight="1" x14ac:dyDescent="0.45">
      <c r="A26" s="32">
        <v>9</v>
      </c>
      <c r="B26" s="42" t="s">
        <v>22</v>
      </c>
      <c r="C26" s="42"/>
      <c r="D26" s="42"/>
      <c r="E26" s="42"/>
      <c r="F26" s="33"/>
      <c r="G26" s="42" t="s">
        <v>22</v>
      </c>
      <c r="H26" s="42"/>
      <c r="I26" s="42"/>
      <c r="J26" s="34"/>
      <c r="K26" s="34"/>
      <c r="L26" s="34"/>
      <c r="M26" s="34"/>
      <c r="N26" s="42" t="s">
        <v>68</v>
      </c>
      <c r="O26" s="42"/>
      <c r="P26" s="42" t="s">
        <v>96</v>
      </c>
      <c r="Q26" s="42"/>
      <c r="R26" s="36">
        <v>2</v>
      </c>
      <c r="S26" s="37" t="s">
        <v>111</v>
      </c>
      <c r="T26" s="38">
        <v>393</v>
      </c>
      <c r="U26" s="38">
        <v>0</v>
      </c>
      <c r="V26" s="41">
        <v>3.3879999999999999</v>
      </c>
      <c r="W26" s="41"/>
      <c r="X26" s="41"/>
      <c r="Y26" s="40" t="s">
        <v>137</v>
      </c>
      <c r="Z26" s="40"/>
      <c r="AA26" s="40"/>
      <c r="AB26" s="40"/>
      <c r="AC26" s="40"/>
    </row>
    <row r="27" spans="1:29" ht="15" customHeight="1" x14ac:dyDescent="0.45">
      <c r="A27" s="32">
        <v>10</v>
      </c>
      <c r="B27" s="42" t="s">
        <v>23</v>
      </c>
      <c r="C27" s="42"/>
      <c r="D27" s="42"/>
      <c r="E27" s="42"/>
      <c r="F27" s="33"/>
      <c r="G27" s="42" t="s">
        <v>23</v>
      </c>
      <c r="H27" s="42"/>
      <c r="I27" s="42"/>
      <c r="J27" s="34"/>
      <c r="K27" s="34"/>
      <c r="L27" s="34"/>
      <c r="M27" s="34"/>
      <c r="N27" s="42" t="s">
        <v>69</v>
      </c>
      <c r="O27" s="42"/>
      <c r="P27" s="42" t="s">
        <v>97</v>
      </c>
      <c r="Q27" s="42"/>
      <c r="R27" s="36">
        <v>3</v>
      </c>
      <c r="S27" s="37" t="s">
        <v>108</v>
      </c>
      <c r="T27" s="38">
        <v>1140</v>
      </c>
      <c r="U27" s="38">
        <v>0</v>
      </c>
      <c r="V27" s="41">
        <v>1.5</v>
      </c>
      <c r="W27" s="41"/>
      <c r="X27" s="41"/>
      <c r="Y27" s="40" t="s">
        <v>138</v>
      </c>
      <c r="Z27" s="40"/>
      <c r="AA27" s="40"/>
      <c r="AB27" s="40"/>
      <c r="AC27" s="40"/>
    </row>
    <row r="28" spans="1:29" ht="15" customHeight="1" x14ac:dyDescent="0.45">
      <c r="A28" s="32">
        <v>11</v>
      </c>
      <c r="B28" s="43"/>
      <c r="C28" s="43"/>
      <c r="D28" s="43"/>
      <c r="E28" s="43"/>
      <c r="F28" s="33"/>
      <c r="G28" s="42" t="s">
        <v>37</v>
      </c>
      <c r="H28" s="42"/>
      <c r="I28" s="42"/>
      <c r="J28" s="34"/>
      <c r="K28" s="34"/>
      <c r="L28" s="34"/>
      <c r="M28" s="34"/>
      <c r="N28" s="42" t="s">
        <v>75</v>
      </c>
      <c r="O28" s="42"/>
      <c r="P28" s="42" t="s">
        <v>102</v>
      </c>
      <c r="Q28" s="42"/>
      <c r="R28" s="36">
        <v>2</v>
      </c>
      <c r="S28" s="37" t="s">
        <v>111</v>
      </c>
      <c r="T28" s="38">
        <v>41.8</v>
      </c>
      <c r="U28" s="38">
        <v>0.09</v>
      </c>
      <c r="V28" s="41">
        <v>0.09</v>
      </c>
      <c r="W28" s="41"/>
      <c r="X28" s="41"/>
      <c r="Y28" s="39"/>
      <c r="Z28" s="39"/>
      <c r="AA28" s="39"/>
      <c r="AB28" s="39"/>
      <c r="AC28" s="39"/>
    </row>
    <row r="29" spans="1:29" ht="15" customHeight="1" x14ac:dyDescent="0.45">
      <c r="A29" s="32">
        <v>12</v>
      </c>
      <c r="B29" s="43"/>
      <c r="C29" s="43"/>
      <c r="D29" s="43"/>
      <c r="E29" s="43"/>
      <c r="F29" s="33"/>
      <c r="G29" s="42" t="s">
        <v>39</v>
      </c>
      <c r="H29" s="42"/>
      <c r="I29" s="42"/>
      <c r="J29" s="34"/>
      <c r="K29" s="34"/>
      <c r="L29" s="34"/>
      <c r="M29" s="34"/>
      <c r="N29" s="42" t="s">
        <v>77</v>
      </c>
      <c r="O29" s="42"/>
      <c r="P29" s="42" t="s">
        <v>96</v>
      </c>
      <c r="Q29" s="42"/>
      <c r="R29" s="36">
        <v>15</v>
      </c>
      <c r="S29" s="37" t="s">
        <v>108</v>
      </c>
      <c r="T29" s="38">
        <v>5200</v>
      </c>
      <c r="U29" s="38">
        <v>3.5</v>
      </c>
      <c r="V29" s="41">
        <v>3.5</v>
      </c>
      <c r="W29" s="41"/>
      <c r="X29" s="41"/>
      <c r="Y29" s="40" t="s">
        <v>143</v>
      </c>
      <c r="Z29" s="40"/>
      <c r="AA29" s="40"/>
      <c r="AB29" s="40"/>
      <c r="AC29" s="40"/>
    </row>
    <row r="30" spans="1:29" ht="15" customHeight="1" x14ac:dyDescent="0.45">
      <c r="A30" s="32">
        <v>13</v>
      </c>
      <c r="B30" s="43"/>
      <c r="C30" s="43"/>
      <c r="D30" s="43"/>
      <c r="E30" s="43"/>
      <c r="F30" s="33"/>
      <c r="G30" s="42" t="s">
        <v>41</v>
      </c>
      <c r="H30" s="42"/>
      <c r="I30" s="42"/>
      <c r="J30" s="34"/>
      <c r="K30" s="34"/>
      <c r="L30" s="34"/>
      <c r="M30" s="34"/>
      <c r="N30" s="42" t="s">
        <v>79</v>
      </c>
      <c r="O30" s="42"/>
      <c r="P30" s="42" t="s">
        <v>103</v>
      </c>
      <c r="Q30" s="42"/>
      <c r="R30" s="36">
        <v>2</v>
      </c>
      <c r="S30" s="37" t="s">
        <v>108</v>
      </c>
      <c r="T30" s="38">
        <v>0</v>
      </c>
      <c r="U30" s="38">
        <v>0</v>
      </c>
      <c r="V30" s="41">
        <v>4.3559999999999999</v>
      </c>
      <c r="W30" s="41"/>
      <c r="X30" s="41"/>
      <c r="Y30" s="40" t="s">
        <v>127</v>
      </c>
      <c r="Z30" s="40"/>
      <c r="AA30" s="40"/>
      <c r="AB30" s="40"/>
      <c r="AC30" s="40"/>
    </row>
    <row r="31" spans="1:29" ht="15" customHeight="1" x14ac:dyDescent="0.45">
      <c r="A31" s="45">
        <v>1</v>
      </c>
      <c r="B31" s="42" t="s">
        <v>8</v>
      </c>
      <c r="C31" s="42"/>
      <c r="D31" s="42"/>
      <c r="E31" s="42"/>
      <c r="F31" s="46"/>
      <c r="G31" s="42" t="s">
        <v>8</v>
      </c>
      <c r="H31" s="42"/>
      <c r="I31" s="42"/>
      <c r="J31" s="47"/>
      <c r="K31" s="47"/>
      <c r="L31" s="47"/>
      <c r="M31" s="47"/>
      <c r="N31" s="42" t="s">
        <v>54</v>
      </c>
      <c r="O31" s="42"/>
      <c r="P31" s="42" t="s">
        <v>83</v>
      </c>
      <c r="Q31" s="42"/>
      <c r="R31" s="48">
        <v>20</v>
      </c>
      <c r="S31" s="49" t="s">
        <v>106</v>
      </c>
      <c r="T31" s="50">
        <v>290</v>
      </c>
      <c r="U31" s="50">
        <v>0</v>
      </c>
      <c r="V31" s="41">
        <v>1.2090000000000001</v>
      </c>
      <c r="W31" s="41"/>
      <c r="X31" s="41"/>
      <c r="Y31" s="39"/>
      <c r="Z31" s="39"/>
      <c r="AA31" s="39"/>
      <c r="AB31" s="39"/>
      <c r="AC31" s="39"/>
    </row>
    <row r="32" spans="1:29" ht="15" customHeight="1" x14ac:dyDescent="0.45">
      <c r="A32" s="45">
        <v>2</v>
      </c>
      <c r="B32" s="42" t="s">
        <v>11</v>
      </c>
      <c r="C32" s="42"/>
      <c r="D32" s="42"/>
      <c r="E32" s="42"/>
      <c r="F32" s="46"/>
      <c r="G32" s="42" t="s">
        <v>11</v>
      </c>
      <c r="H32" s="42"/>
      <c r="I32" s="42"/>
      <c r="J32" s="47"/>
      <c r="K32" s="47"/>
      <c r="L32" s="47"/>
      <c r="M32" s="47"/>
      <c r="N32" s="42" t="s">
        <v>57</v>
      </c>
      <c r="O32" s="42"/>
      <c r="P32" s="42" t="s">
        <v>86</v>
      </c>
      <c r="Q32" s="42"/>
      <c r="R32" s="48">
        <v>5</v>
      </c>
      <c r="S32" s="49" t="s">
        <v>108</v>
      </c>
      <c r="T32" s="50">
        <v>3378</v>
      </c>
      <c r="U32" s="50">
        <v>9.18</v>
      </c>
      <c r="V32" s="41">
        <v>9.18</v>
      </c>
      <c r="W32" s="41"/>
      <c r="X32" s="41"/>
      <c r="Y32" s="40" t="s">
        <v>128</v>
      </c>
      <c r="Z32" s="40"/>
      <c r="AA32" s="40"/>
      <c r="AB32" s="40"/>
      <c r="AC32" s="40"/>
    </row>
    <row r="33" spans="1:29" ht="15" customHeight="1" x14ac:dyDescent="0.45">
      <c r="A33" s="45">
        <v>3</v>
      </c>
      <c r="B33" s="42" t="s">
        <v>15</v>
      </c>
      <c r="C33" s="42"/>
      <c r="D33" s="42"/>
      <c r="E33" s="42"/>
      <c r="F33" s="46"/>
      <c r="G33" s="42" t="s">
        <v>15</v>
      </c>
      <c r="H33" s="42"/>
      <c r="I33" s="42"/>
      <c r="J33" s="47"/>
      <c r="K33" s="47"/>
      <c r="L33" s="47"/>
      <c r="M33" s="47"/>
      <c r="N33" s="42" t="s">
        <v>61</v>
      </c>
      <c r="O33" s="42"/>
      <c r="P33" s="42" t="s">
        <v>90</v>
      </c>
      <c r="Q33" s="42"/>
      <c r="R33" s="48">
        <v>6</v>
      </c>
      <c r="S33" s="49" t="s">
        <v>108</v>
      </c>
      <c r="T33" s="50">
        <v>2937.76</v>
      </c>
      <c r="U33" s="50">
        <v>0</v>
      </c>
      <c r="V33" s="41">
        <v>10.08</v>
      </c>
      <c r="W33" s="41"/>
      <c r="X33" s="41"/>
      <c r="Y33" s="40" t="s">
        <v>131</v>
      </c>
      <c r="Z33" s="40"/>
      <c r="AA33" s="40"/>
      <c r="AB33" s="40"/>
      <c r="AC33" s="40"/>
    </row>
    <row r="34" spans="1:29" ht="15" customHeight="1" x14ac:dyDescent="0.45">
      <c r="A34" s="45">
        <v>4</v>
      </c>
      <c r="B34" s="42" t="s">
        <v>33</v>
      </c>
      <c r="C34" s="42"/>
      <c r="D34" s="42"/>
      <c r="E34" s="42"/>
      <c r="F34" s="46"/>
      <c r="G34" s="42" t="s">
        <v>33</v>
      </c>
      <c r="H34" s="42"/>
      <c r="I34" s="42"/>
      <c r="J34" s="47"/>
      <c r="K34" s="47"/>
      <c r="L34" s="47"/>
      <c r="M34" s="47"/>
      <c r="N34" s="42" t="s">
        <v>71</v>
      </c>
      <c r="O34" s="42"/>
      <c r="P34" s="42" t="s">
        <v>99</v>
      </c>
      <c r="Q34" s="42"/>
      <c r="R34" s="48">
        <v>4</v>
      </c>
      <c r="S34" s="49" t="s">
        <v>108</v>
      </c>
      <c r="T34" s="50">
        <v>1750</v>
      </c>
      <c r="U34" s="50">
        <v>8.11</v>
      </c>
      <c r="V34" s="41">
        <v>8.11</v>
      </c>
      <c r="W34" s="41"/>
      <c r="X34" s="41"/>
      <c r="Y34" s="40" t="s">
        <v>140</v>
      </c>
      <c r="Z34" s="40"/>
      <c r="AA34" s="40"/>
      <c r="AB34" s="40"/>
      <c r="AC34" s="40"/>
    </row>
    <row r="35" spans="1:29" ht="15" customHeight="1" x14ac:dyDescent="0.45">
      <c r="A35" s="45">
        <v>5</v>
      </c>
      <c r="B35" s="42" t="s">
        <v>33</v>
      </c>
      <c r="C35" s="42"/>
      <c r="D35" s="42"/>
      <c r="E35" s="42"/>
      <c r="F35" s="46"/>
      <c r="G35" s="42" t="s">
        <v>34</v>
      </c>
      <c r="H35" s="42"/>
      <c r="I35" s="42"/>
      <c r="J35" s="47"/>
      <c r="K35" s="47"/>
      <c r="L35" s="47"/>
      <c r="M35" s="47"/>
      <c r="N35" s="42" t="s">
        <v>72</v>
      </c>
      <c r="O35" s="42"/>
      <c r="P35" s="42" t="s">
        <v>100</v>
      </c>
      <c r="Q35" s="42"/>
      <c r="R35" s="48">
        <v>2</v>
      </c>
      <c r="S35" s="49" t="s">
        <v>108</v>
      </c>
      <c r="T35" s="50">
        <v>1146</v>
      </c>
      <c r="U35" s="50">
        <v>0</v>
      </c>
      <c r="V35" s="41">
        <v>3</v>
      </c>
      <c r="W35" s="41"/>
      <c r="X35" s="41"/>
      <c r="Y35" s="40" t="s">
        <v>149</v>
      </c>
      <c r="Z35" s="40"/>
      <c r="AA35" s="40"/>
      <c r="AB35" s="40"/>
      <c r="AC35" s="40"/>
    </row>
    <row r="36" spans="1:29" ht="15" customHeight="1" x14ac:dyDescent="0.45">
      <c r="A36" s="45">
        <v>6</v>
      </c>
      <c r="B36" s="42" t="s">
        <v>33</v>
      </c>
      <c r="C36" s="42"/>
      <c r="D36" s="42"/>
      <c r="E36" s="42"/>
      <c r="F36" s="46"/>
      <c r="G36" s="42" t="s">
        <v>35</v>
      </c>
      <c r="H36" s="42"/>
      <c r="I36" s="42"/>
      <c r="J36" s="47"/>
      <c r="K36" s="47"/>
      <c r="L36" s="47"/>
      <c r="M36" s="47"/>
      <c r="N36" s="42" t="s">
        <v>73</v>
      </c>
      <c r="O36" s="42"/>
      <c r="P36" s="42" t="s">
        <v>99</v>
      </c>
      <c r="Q36" s="42"/>
      <c r="R36" s="48">
        <v>2</v>
      </c>
      <c r="S36" s="49" t="s">
        <v>108</v>
      </c>
      <c r="T36" s="50">
        <v>810</v>
      </c>
      <c r="U36" s="50">
        <v>4.1100000000000003</v>
      </c>
      <c r="V36" s="41">
        <v>4.1100000000000003</v>
      </c>
      <c r="W36" s="41"/>
      <c r="X36" s="41"/>
      <c r="Y36" s="40" t="s">
        <v>141</v>
      </c>
      <c r="Z36" s="40"/>
      <c r="AA36" s="40"/>
      <c r="AB36" s="40"/>
      <c r="AC36" s="40"/>
    </row>
    <row r="37" spans="1:29" ht="15" customHeight="1" x14ac:dyDescent="0.45">
      <c r="A37" s="45">
        <v>7</v>
      </c>
      <c r="B37" s="42" t="s">
        <v>33</v>
      </c>
      <c r="C37" s="42"/>
      <c r="D37" s="42"/>
      <c r="E37" s="42"/>
      <c r="F37" s="46"/>
      <c r="G37" s="42" t="s">
        <v>36</v>
      </c>
      <c r="H37" s="42"/>
      <c r="I37" s="42"/>
      <c r="J37" s="47"/>
      <c r="K37" s="47"/>
      <c r="L37" s="47"/>
      <c r="M37" s="47"/>
      <c r="N37" s="42" t="s">
        <v>74</v>
      </c>
      <c r="O37" s="42"/>
      <c r="P37" s="42" t="s">
        <v>101</v>
      </c>
      <c r="Q37" s="42"/>
      <c r="R37" s="48">
        <v>110</v>
      </c>
      <c r="S37" s="49" t="s">
        <v>111</v>
      </c>
      <c r="T37" s="50">
        <v>1413.52</v>
      </c>
      <c r="U37" s="50">
        <v>0</v>
      </c>
      <c r="V37" s="41">
        <v>8</v>
      </c>
      <c r="W37" s="41"/>
      <c r="X37" s="41"/>
      <c r="Y37" s="39"/>
      <c r="Z37" s="39"/>
      <c r="AA37" s="39"/>
      <c r="AB37" s="39"/>
      <c r="AC37" s="39"/>
    </row>
    <row r="38" spans="1:29" ht="15" customHeight="1" x14ac:dyDescent="0.45">
      <c r="A38" s="45">
        <v>8</v>
      </c>
      <c r="B38" s="42" t="s">
        <v>16</v>
      </c>
      <c r="C38" s="42"/>
      <c r="D38" s="42"/>
      <c r="E38" s="42"/>
      <c r="F38" s="46"/>
      <c r="G38" s="42" t="s">
        <v>16</v>
      </c>
      <c r="H38" s="42"/>
      <c r="I38" s="42"/>
      <c r="J38" s="47"/>
      <c r="K38" s="47"/>
      <c r="L38" s="47"/>
      <c r="M38" s="47"/>
      <c r="N38" s="42" t="s">
        <v>62</v>
      </c>
      <c r="O38" s="42"/>
      <c r="P38" s="42" t="s">
        <v>91</v>
      </c>
      <c r="Q38" s="42"/>
      <c r="R38" s="48">
        <v>5</v>
      </c>
      <c r="S38" s="49" t="s">
        <v>110</v>
      </c>
      <c r="T38" s="50">
        <v>5000</v>
      </c>
      <c r="U38" s="50">
        <v>0</v>
      </c>
      <c r="V38" s="41">
        <v>3.24</v>
      </c>
      <c r="W38" s="41"/>
      <c r="X38" s="41"/>
      <c r="Y38" s="40" t="s">
        <v>132</v>
      </c>
      <c r="Z38" s="40"/>
      <c r="AA38" s="40"/>
      <c r="AB38" s="40"/>
      <c r="AC38" s="40"/>
    </row>
    <row r="39" spans="1:29" ht="15" customHeight="1" x14ac:dyDescent="0.45">
      <c r="A39" s="45">
        <v>9</v>
      </c>
      <c r="B39" s="42" t="s">
        <v>20</v>
      </c>
      <c r="C39" s="42"/>
      <c r="D39" s="42"/>
      <c r="E39" s="42"/>
      <c r="F39" s="46"/>
      <c r="G39" s="42" t="s">
        <v>20</v>
      </c>
      <c r="H39" s="42"/>
      <c r="I39" s="42"/>
      <c r="J39" s="47"/>
      <c r="K39" s="47"/>
      <c r="L39" s="47"/>
      <c r="M39" s="47"/>
      <c r="N39" s="42" t="s">
        <v>66</v>
      </c>
      <c r="O39" s="42"/>
      <c r="P39" s="42" t="s">
        <v>83</v>
      </c>
      <c r="Q39" s="42"/>
      <c r="R39" s="48">
        <v>3</v>
      </c>
      <c r="S39" s="49" t="s">
        <v>108</v>
      </c>
      <c r="T39" s="50">
        <v>1305</v>
      </c>
      <c r="U39" s="50">
        <v>0</v>
      </c>
      <c r="V39" s="41">
        <v>6.2779999999999996</v>
      </c>
      <c r="W39" s="41"/>
      <c r="X39" s="41"/>
      <c r="Y39" s="40" t="s">
        <v>135</v>
      </c>
      <c r="Z39" s="40"/>
      <c r="AA39" s="40"/>
      <c r="AB39" s="40"/>
      <c r="AC39" s="40"/>
    </row>
    <row r="40" spans="1:29" ht="15" customHeight="1" x14ac:dyDescent="0.45">
      <c r="A40" s="44">
        <v>1</v>
      </c>
      <c r="B40" s="51" t="s">
        <v>13</v>
      </c>
      <c r="C40" s="51"/>
      <c r="D40" s="51"/>
      <c r="E40" s="51"/>
      <c r="F40" s="52"/>
      <c r="G40" s="51" t="s">
        <v>13</v>
      </c>
      <c r="H40" s="51"/>
      <c r="I40" s="51"/>
      <c r="J40" s="53"/>
      <c r="K40" s="53" t="s">
        <v>46</v>
      </c>
      <c r="L40" s="53" t="s">
        <v>46</v>
      </c>
      <c r="M40" s="53"/>
      <c r="N40" s="51" t="s">
        <v>59</v>
      </c>
      <c r="O40" s="51"/>
      <c r="P40" s="51" t="s">
        <v>88</v>
      </c>
      <c r="Q40" s="51"/>
      <c r="R40" s="54">
        <v>2</v>
      </c>
      <c r="S40" s="55" t="s">
        <v>108</v>
      </c>
      <c r="T40" s="56">
        <v>2030</v>
      </c>
      <c r="U40" s="56">
        <v>2.86</v>
      </c>
      <c r="V40" s="57">
        <v>2.86</v>
      </c>
      <c r="W40" s="57"/>
      <c r="X40" s="57"/>
      <c r="Y40" s="58" t="s">
        <v>130</v>
      </c>
      <c r="Z40" s="58"/>
      <c r="AA40" s="58"/>
      <c r="AB40" s="58"/>
      <c r="AC40" s="58"/>
    </row>
    <row r="41" spans="1:29" ht="14.25" customHeight="1" x14ac:dyDescent="0.45">
      <c r="A41" s="44">
        <v>2</v>
      </c>
      <c r="B41" s="51" t="s">
        <v>18</v>
      </c>
      <c r="C41" s="51"/>
      <c r="D41" s="51"/>
      <c r="E41" s="51"/>
      <c r="F41" s="52"/>
      <c r="G41" s="51" t="s">
        <v>18</v>
      </c>
      <c r="H41" s="51"/>
      <c r="I41" s="51"/>
      <c r="J41" s="53"/>
      <c r="K41" s="53" t="s">
        <v>46</v>
      </c>
      <c r="L41" s="53" t="s">
        <v>46</v>
      </c>
      <c r="M41" s="53"/>
      <c r="N41" s="51" t="s">
        <v>64</v>
      </c>
      <c r="O41" s="51"/>
      <c r="P41" s="51" t="s">
        <v>93</v>
      </c>
      <c r="Q41" s="51"/>
      <c r="R41" s="54">
        <v>3</v>
      </c>
      <c r="S41" s="55" t="s">
        <v>108</v>
      </c>
      <c r="T41" s="56">
        <v>932.8</v>
      </c>
      <c r="U41" s="56">
        <v>5.39</v>
      </c>
      <c r="V41" s="57">
        <v>5.39</v>
      </c>
      <c r="W41" s="57"/>
      <c r="X41" s="57"/>
      <c r="Y41" s="58" t="s">
        <v>133</v>
      </c>
      <c r="Z41" s="58"/>
      <c r="AA41" s="58"/>
      <c r="AB41" s="58"/>
      <c r="AC41" s="58"/>
    </row>
    <row r="42" spans="1:29" ht="21" customHeight="1" x14ac:dyDescent="0.45">
      <c r="A42" s="44">
        <v>3</v>
      </c>
      <c r="B42" s="59"/>
      <c r="C42" s="59"/>
      <c r="D42" s="59"/>
      <c r="E42" s="59"/>
      <c r="F42" s="52"/>
      <c r="G42" s="51" t="s">
        <v>32</v>
      </c>
      <c r="H42" s="51"/>
      <c r="I42" s="51"/>
      <c r="J42" s="53"/>
      <c r="K42" s="53" t="s">
        <v>46</v>
      </c>
      <c r="L42" s="53" t="s">
        <v>46</v>
      </c>
      <c r="M42" s="53"/>
      <c r="N42" s="51" t="s">
        <v>70</v>
      </c>
      <c r="O42" s="51"/>
      <c r="P42" s="51" t="s">
        <v>98</v>
      </c>
      <c r="Q42" s="51"/>
      <c r="R42" s="54">
        <v>6</v>
      </c>
      <c r="S42" s="55" t="s">
        <v>108</v>
      </c>
      <c r="T42" s="56">
        <v>0</v>
      </c>
      <c r="U42" s="56">
        <v>9.34</v>
      </c>
      <c r="V42" s="57">
        <v>9.34</v>
      </c>
      <c r="W42" s="57"/>
      <c r="X42" s="57"/>
      <c r="Y42" s="58" t="s">
        <v>139</v>
      </c>
      <c r="Z42" s="58"/>
      <c r="AA42" s="58"/>
      <c r="AB42" s="58"/>
      <c r="AC42" s="58"/>
    </row>
    <row r="43" spans="1:29" ht="14.25" customHeight="1" x14ac:dyDescent="0.45">
      <c r="A43" s="44">
        <v>4</v>
      </c>
      <c r="B43" s="59"/>
      <c r="C43" s="59"/>
      <c r="D43" s="59"/>
      <c r="E43" s="59"/>
      <c r="F43" s="52"/>
      <c r="G43" s="51" t="s">
        <v>40</v>
      </c>
      <c r="H43" s="51"/>
      <c r="I43" s="51"/>
      <c r="J43" s="53"/>
      <c r="K43" s="53" t="s">
        <v>46</v>
      </c>
      <c r="L43" s="53" t="s">
        <v>46</v>
      </c>
      <c r="M43" s="53"/>
      <c r="N43" s="51" t="s">
        <v>78</v>
      </c>
      <c r="O43" s="51"/>
      <c r="P43" s="51" t="s">
        <v>93</v>
      </c>
      <c r="Q43" s="51"/>
      <c r="R43" s="54">
        <v>2</v>
      </c>
      <c r="S43" s="55" t="s">
        <v>111</v>
      </c>
      <c r="T43" s="56">
        <v>1166</v>
      </c>
      <c r="U43" s="56">
        <v>1.55</v>
      </c>
      <c r="V43" s="57">
        <v>1.55</v>
      </c>
      <c r="W43" s="57"/>
      <c r="X43" s="57"/>
      <c r="Y43" s="58" t="s">
        <v>144</v>
      </c>
      <c r="Z43" s="58"/>
      <c r="AA43" s="58"/>
      <c r="AB43" s="58"/>
      <c r="AC43" s="58"/>
    </row>
    <row r="44" spans="1:29" ht="15" customHeight="1" x14ac:dyDescent="0.45">
      <c r="A44" s="13" t="s">
        <v>6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23">
        <v>143</v>
      </c>
      <c r="S44" s="23"/>
      <c r="T44" s="5">
        <f>SUM(T18:T43)</f>
        <v>37721.880000000005</v>
      </c>
      <c r="U44" s="5">
        <f>SUM(U18:U43)</f>
        <v>49.429999999999993</v>
      </c>
      <c r="V44" s="29">
        <f>SUM(V18:X43)</f>
        <v>126.929</v>
      </c>
      <c r="W44" s="29"/>
      <c r="X44" s="29"/>
      <c r="Y44" s="31" t="s">
        <v>145</v>
      </c>
      <c r="Z44" s="31"/>
      <c r="AA44" s="31"/>
      <c r="AB44" s="31"/>
      <c r="AC44" s="31"/>
    </row>
  </sheetData>
  <mergeCells count="200">
    <mergeCell ref="Y42:AC42"/>
    <mergeCell ref="B43:E43"/>
    <mergeCell ref="G43:I43"/>
    <mergeCell ref="N43:O43"/>
    <mergeCell ref="P43:Q43"/>
    <mergeCell ref="V43:X43"/>
    <mergeCell ref="Y43:AC43"/>
    <mergeCell ref="B42:E42"/>
    <mergeCell ref="G42:I42"/>
    <mergeCell ref="N42:O42"/>
    <mergeCell ref="P42:Q42"/>
    <mergeCell ref="V42:X42"/>
    <mergeCell ref="Y40:AC40"/>
    <mergeCell ref="B41:E41"/>
    <mergeCell ref="G41:I41"/>
    <mergeCell ref="N41:O41"/>
    <mergeCell ref="P41:Q41"/>
    <mergeCell ref="V41:X41"/>
    <mergeCell ref="Y41:AC41"/>
    <mergeCell ref="B40:E40"/>
    <mergeCell ref="G40:I40"/>
    <mergeCell ref="N40:O40"/>
    <mergeCell ref="P40:Q40"/>
    <mergeCell ref="V40:X40"/>
    <mergeCell ref="B38:E38"/>
    <mergeCell ref="B39:E39"/>
    <mergeCell ref="G31:I31"/>
    <mergeCell ref="B31:E31"/>
    <mergeCell ref="B32:E32"/>
    <mergeCell ref="B33:E33"/>
    <mergeCell ref="B34:E34"/>
    <mergeCell ref="B35:E35"/>
    <mergeCell ref="B36:E36"/>
    <mergeCell ref="B37:E37"/>
    <mergeCell ref="G38:I38"/>
    <mergeCell ref="G39:I39"/>
    <mergeCell ref="N31:O31"/>
    <mergeCell ref="N32:O32"/>
    <mergeCell ref="N33:O33"/>
    <mergeCell ref="G32:I32"/>
    <mergeCell ref="G33:I33"/>
    <mergeCell ref="G34:I34"/>
    <mergeCell ref="G35:I35"/>
    <mergeCell ref="G36:I36"/>
    <mergeCell ref="G37:I37"/>
    <mergeCell ref="N35:O35"/>
    <mergeCell ref="N36:O36"/>
    <mergeCell ref="N37:O37"/>
    <mergeCell ref="N38:O38"/>
    <mergeCell ref="N39:O39"/>
    <mergeCell ref="P31:Q31"/>
    <mergeCell ref="P32:Q32"/>
    <mergeCell ref="P33:Q33"/>
    <mergeCell ref="P34:Q34"/>
    <mergeCell ref="N34:O34"/>
    <mergeCell ref="P35:Q35"/>
    <mergeCell ref="P36:Q36"/>
    <mergeCell ref="P37:Q37"/>
    <mergeCell ref="P38:Q38"/>
    <mergeCell ref="P39:Q39"/>
    <mergeCell ref="V31:X31"/>
    <mergeCell ref="V32:X32"/>
    <mergeCell ref="V33:X33"/>
    <mergeCell ref="V34:X34"/>
    <mergeCell ref="Y31:AC31"/>
    <mergeCell ref="Y32:AC32"/>
    <mergeCell ref="Y33:AC33"/>
    <mergeCell ref="Y37:AC37"/>
    <mergeCell ref="Y38:AC38"/>
    <mergeCell ref="Y39:AC39"/>
    <mergeCell ref="V35:X35"/>
    <mergeCell ref="V36:X36"/>
    <mergeCell ref="V37:X37"/>
    <mergeCell ref="V38:X38"/>
    <mergeCell ref="V39:X39"/>
    <mergeCell ref="B25:E25"/>
    <mergeCell ref="B26:E26"/>
    <mergeCell ref="B27:E27"/>
    <mergeCell ref="B28:E28"/>
    <mergeCell ref="B29:E29"/>
    <mergeCell ref="B30:E30"/>
    <mergeCell ref="B18:E18"/>
    <mergeCell ref="B19:E19"/>
    <mergeCell ref="B20:E20"/>
    <mergeCell ref="B21:E21"/>
    <mergeCell ref="B22:E22"/>
    <mergeCell ref="B23:E23"/>
    <mergeCell ref="B24:E24"/>
    <mergeCell ref="G27:I27"/>
    <mergeCell ref="G28:I28"/>
    <mergeCell ref="G29:I29"/>
    <mergeCell ref="G30:I30"/>
    <mergeCell ref="N18:O18"/>
    <mergeCell ref="G21:I21"/>
    <mergeCell ref="G22:I22"/>
    <mergeCell ref="G23:I23"/>
    <mergeCell ref="G24:I24"/>
    <mergeCell ref="G25:I25"/>
    <mergeCell ref="G26:I26"/>
    <mergeCell ref="G18:I18"/>
    <mergeCell ref="G19:I19"/>
    <mergeCell ref="G20:I20"/>
    <mergeCell ref="N25:O25"/>
    <mergeCell ref="N26:O26"/>
    <mergeCell ref="N27:O27"/>
    <mergeCell ref="N28:O28"/>
    <mergeCell ref="N29:O29"/>
    <mergeCell ref="N30:O30"/>
    <mergeCell ref="N19:O19"/>
    <mergeCell ref="N20:O20"/>
    <mergeCell ref="N21:O21"/>
    <mergeCell ref="N22:O22"/>
    <mergeCell ref="N23:O23"/>
    <mergeCell ref="N24:O24"/>
    <mergeCell ref="V28:X28"/>
    <mergeCell ref="V29:X29"/>
    <mergeCell ref="V30:X30"/>
    <mergeCell ref="Y18:AC18"/>
    <mergeCell ref="Y19:AC19"/>
    <mergeCell ref="Y20:AC20"/>
    <mergeCell ref="V22:X22"/>
    <mergeCell ref="V23:X23"/>
    <mergeCell ref="V24:X24"/>
    <mergeCell ref="V25:X25"/>
    <mergeCell ref="V26:X26"/>
    <mergeCell ref="V27:X27"/>
    <mergeCell ref="V18:X18"/>
    <mergeCell ref="V19:X19"/>
    <mergeCell ref="V20:X20"/>
    <mergeCell ref="V21:X21"/>
    <mergeCell ref="Y21:AC21"/>
    <mergeCell ref="Y44:AC44"/>
    <mergeCell ref="Y28:AC28"/>
    <mergeCell ref="Y29:AC29"/>
    <mergeCell ref="Y30:AC30"/>
    <mergeCell ref="Y22:AC22"/>
    <mergeCell ref="Y23:AC23"/>
    <mergeCell ref="Y24:AC24"/>
    <mergeCell ref="Y25:AC25"/>
    <mergeCell ref="Y26:AC26"/>
    <mergeCell ref="Y27:AC27"/>
    <mergeCell ref="Y34:AC34"/>
    <mergeCell ref="Y35:AC35"/>
    <mergeCell ref="Y36:AC36"/>
    <mergeCell ref="V44:X44"/>
    <mergeCell ref="W3:W6"/>
    <mergeCell ref="X3:AC6"/>
    <mergeCell ref="Y17:AC17"/>
    <mergeCell ref="V2:AC2"/>
    <mergeCell ref="V3:V6"/>
    <mergeCell ref="V13:AC13"/>
    <mergeCell ref="V14:AC14"/>
    <mergeCell ref="V15:AC15"/>
    <mergeCell ref="V16:AC16"/>
    <mergeCell ref="V17:X17"/>
    <mergeCell ref="Q15:S15"/>
    <mergeCell ref="R17:S17"/>
    <mergeCell ref="R44:S44"/>
    <mergeCell ref="T13:U13"/>
    <mergeCell ref="T14:U14"/>
    <mergeCell ref="T15:U15"/>
    <mergeCell ref="T16:U16"/>
    <mergeCell ref="P26:Q26"/>
    <mergeCell ref="P27:Q27"/>
    <mergeCell ref="P28:Q28"/>
    <mergeCell ref="P29:Q29"/>
    <mergeCell ref="P30:Q30"/>
    <mergeCell ref="P20:Q20"/>
    <mergeCell ref="P21:Q21"/>
    <mergeCell ref="P22:Q22"/>
    <mergeCell ref="P23:Q23"/>
    <mergeCell ref="P24:Q24"/>
    <mergeCell ref="P25:Q25"/>
    <mergeCell ref="P18:Q18"/>
    <mergeCell ref="P19:Q19"/>
    <mergeCell ref="O14:S14"/>
    <mergeCell ref="O15:P15"/>
    <mergeCell ref="O16:S16"/>
    <mergeCell ref="P17:Q17"/>
    <mergeCell ref="I13:S13"/>
    <mergeCell ref="L14:N14"/>
    <mergeCell ref="L15:N15"/>
    <mergeCell ref="L16:N16"/>
    <mergeCell ref="N17:O17"/>
    <mergeCell ref="D2:U3"/>
    <mergeCell ref="D5:U6"/>
    <mergeCell ref="E13:G13"/>
    <mergeCell ref="E14:K14"/>
    <mergeCell ref="E15:K15"/>
    <mergeCell ref="E16:K16"/>
    <mergeCell ref="G17:I17"/>
    <mergeCell ref="A2:B5"/>
    <mergeCell ref="A8:AB8"/>
    <mergeCell ref="A9:AB11"/>
    <mergeCell ref="A13:D13"/>
    <mergeCell ref="A14:D14"/>
    <mergeCell ref="A15:D15"/>
    <mergeCell ref="A16:D16"/>
    <mergeCell ref="A44:Q44"/>
    <mergeCell ref="B17:E17"/>
  </mergeCells>
  <phoneticPr fontId="3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노블코코 메인</dc:creator>
  <cp:lastModifiedBy>노블코코 해운대</cp:lastModifiedBy>
  <dcterms:created xsi:type="dcterms:W3CDTF">2026-04-20T10:13:04Z</dcterms:created>
  <dcterms:modified xsi:type="dcterms:W3CDTF">2026-04-20T10:13:04Z</dcterms:modified>
</cp:coreProperties>
</file>