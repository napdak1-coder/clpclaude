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pda\OneDrive\문서\네이트온 받은 파일\clp test\세번째준거\"/>
    </mc:Choice>
  </mc:AlternateContent>
  <xr:revisionPtr revIDLastSave="0" documentId="13_ncr:1_{4604345A-8234-4370-ABCD-93F6D7A8B8E3}" xr6:coauthVersionLast="47" xr6:coauthVersionMax="47" xr10:uidLastSave="{00000000-0000-0000-0000-000000000000}"/>
  <bookViews>
    <workbookView xWindow="1395" yWindow="4860" windowWidth="31605" windowHeight="14663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9" i="1" l="1"/>
  <c r="U39" i="1"/>
  <c r="T39" i="1"/>
  <c r="R39" i="1"/>
</calcChain>
</file>

<file path=xl/sharedStrings.xml><?xml version="1.0" encoding="utf-8"?>
<sst xmlns="http://schemas.openxmlformats.org/spreadsheetml/2006/main" count="237" uniqueCount="146">
  <si>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</si>
  <si>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</si>
  <si>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</si>
  <si>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</si>
  <si>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</si>
  <si>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</si>
  <si>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</si>
  <si>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</si>
  <si>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FBSIN260340</t>
  </si>
  <si>
    <t>FBSIN260356</t>
  </si>
  <si>
    <t>FBSIN260381</t>
  </si>
  <si>
    <t>FBSIN260382</t>
  </si>
  <si>
    <t>FBSIN260384</t>
  </si>
  <si>
    <t>FBSIN260390</t>
  </si>
  <si>
    <t>FBSIN260393</t>
  </si>
  <si>
    <t>FBSIN260394</t>
  </si>
  <si>
    <t>FBSIN260396</t>
  </si>
  <si>
    <t>FBSIN260397</t>
  </si>
  <si>
    <t>FBSIN260401</t>
  </si>
  <si>
    <t>FBSIN260402</t>
  </si>
  <si>
    <t>FBSIN260403</t>
  </si>
  <si>
    <t>FBSIN260404</t>
  </si>
  <si>
    <t>FBSIN260409</t>
  </si>
  <si>
    <t>FBSIN260411</t>
  </si>
  <si>
    <t>페어콘라인㈜</t>
  </si>
  <si>
    <t>서울특별시 중구 을지로 16(을지로 1가, 백남빌딩 11층)</t>
  </si>
  <si>
    <t>ABSG2600014-1</t>
  </si>
  <si>
    <t>SINOKOR MERCHANT MARINE CO., LTD.</t>
  </si>
  <si>
    <t>BELAWAN  / 2604S</t>
  </si>
  <si>
    <t>페어허브물류 주식회사</t>
  </si>
  <si>
    <t>DEST</t>
  </si>
  <si>
    <t>GENOA, ITALY</t>
  </si>
  <si>
    <t>KUCHING, MALAYSIA</t>
  </si>
  <si>
    <t>Booking No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</si>
  <si>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</si>
  <si>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</si>
  <si>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</si>
  <si>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</si>
  <si>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</si>
  <si>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</si>
  <si>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</si>
  <si>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</si>
  <si>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</si>
  <si>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</si>
  <si>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</si>
  <si>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</si>
  <si>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SMS-SME</t>
  </si>
  <si>
    <t>케이오토파츠</t>
  </si>
  <si>
    <t>DSR WIRE CORP</t>
  </si>
  <si>
    <t>캐미리 *반송*</t>
  </si>
  <si>
    <t>에코마인</t>
  </si>
  <si>
    <t>합천생약</t>
  </si>
  <si>
    <t>나투리아</t>
  </si>
  <si>
    <t>고려제강</t>
  </si>
  <si>
    <t>MEC</t>
  </si>
  <si>
    <t>에이스나노켐</t>
  </si>
  <si>
    <t>광명산업</t>
  </si>
  <si>
    <t>삼성전자</t>
  </si>
  <si>
    <t>TECHCROSS</t>
  </si>
  <si>
    <t>PACIFIC KOREA</t>
  </si>
  <si>
    <t>원텍</t>
  </si>
  <si>
    <t>한윌(서울)</t>
  </si>
  <si>
    <t>한윌(미도)</t>
  </si>
  <si>
    <t>에프디씨바이오</t>
  </si>
  <si>
    <t>에이킴**반송**</t>
  </si>
  <si>
    <t>40HQ</t>
  </si>
  <si>
    <t>2026-04-14</t>
  </si>
  <si>
    <t>정경일대리님</t>
  </si>
  <si>
    <t xml:space="preserve">화주 </t>
  </si>
  <si>
    <t xml:space="preserve">(주)피플로지스틱스코리아B / </t>
  </si>
  <si>
    <t xml:space="preserve">N/케이오토파츠 / </t>
  </si>
  <si>
    <t xml:space="preserve">KIF / </t>
  </si>
  <si>
    <t xml:space="preserve">FCA N/캐미리 / </t>
  </si>
  <si>
    <t xml:space="preserve">N/모리슨 / </t>
  </si>
  <si>
    <t xml:space="preserve">한생해운 이화정 / </t>
  </si>
  <si>
    <t xml:space="preserve">오케이물류(주)B / </t>
  </si>
  <si>
    <t xml:space="preserve">N/AWOT  / </t>
  </si>
  <si>
    <t xml:space="preserve">태웅 / </t>
  </si>
  <si>
    <t xml:space="preserve">우진글로벌  / </t>
  </si>
  <si>
    <t xml:space="preserve">씨링크 찬의B / </t>
  </si>
  <si>
    <t xml:space="preserve">N/썬월드해운항공 / </t>
  </si>
  <si>
    <t xml:space="preserve">N/SITC / </t>
  </si>
  <si>
    <t xml:space="preserve">CNI / </t>
  </si>
  <si>
    <t xml:space="preserve">N/에프디씨바이오 / </t>
  </si>
  <si>
    <t xml:space="preserve">씨토탈 익스프레스 이윤미 / </t>
  </si>
  <si>
    <t>2026-04-24</t>
  </si>
  <si>
    <t>Q'TY</t>
  </si>
  <si>
    <t>PL</t>
  </si>
  <si>
    <t>CT</t>
  </si>
  <si>
    <t>BX</t>
  </si>
  <si>
    <t>PK</t>
  </si>
  <si>
    <t>WC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</si>
  <si>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</si>
  <si>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</si>
  <si>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</si>
  <si>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</si>
  <si>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</si>
  <si>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</si>
  <si>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</si>
  <si>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</si>
  <si>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SNKO010260403249</t>
  </si>
  <si>
    <t>SKHU9503714 / 217988</t>
  </si>
  <si>
    <t>동원글로벌터미널부산(주) (03077135)</t>
  </si>
  <si>
    <t>ABOUT</t>
  </si>
  <si>
    <t>:</t>
  </si>
  <si>
    <t>02-772-2602</t>
  </si>
  <si>
    <t>REMARK</t>
  </si>
  <si>
    <t>1100*1100*730</t>
  </si>
  <si>
    <t>운송료 38만원 화주청구</t>
  </si>
  <si>
    <t>74*74*70</t>
  </si>
  <si>
    <t>*보세반송* 183*76*169, 180*83*85</t>
  </si>
  <si>
    <t>110x110x68(1)</t>
  </si>
  <si>
    <t>*다단금지*/ 이건만 운임 -20블 
 76x66x73(3)</t>
  </si>
  <si>
    <t>112x58x45(1)</t>
  </si>
  <si>
    <t>110*110*80</t>
  </si>
  <si>
    <t>*상단/188*45*50</t>
  </si>
  <si>
    <t>114x99x127(2)</t>
  </si>
  <si>
    <t>1100*1100*800, 
800*610*440</t>
  </si>
  <si>
    <t>124x67x151 *2, 64x63x158, 69x37x25, 62x37x39</t>
  </si>
  <si>
    <t>*상단/작업사진* 1PLT+1CT - 박스를 미도팔렛이랑 랩핑</t>
  </si>
  <si>
    <t>110*110*95 / 은송료11만원화주청구</t>
  </si>
  <si>
    <t>*반송*, 120*100*90</t>
  </si>
  <si>
    <t>VGM :                   KGS</t>
  </si>
  <si>
    <t>2026-04-17</t>
  </si>
  <si>
    <t>1/1</t>
  </si>
  <si>
    <r>
      <t>1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TOTAL 65CBM </t>
    </r>
    <r>
      <rPr>
        <sz val="11"/>
        <color rgb="FF000000"/>
        <rFont val="돋움"/>
        <family val="3"/>
        <charset val="129"/>
      </rPr>
      <t>정도라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>/20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나눴는데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당일</t>
    </r>
    <r>
      <rPr>
        <sz val="11"/>
        <color rgb="FF000000"/>
        <rFont val="Calibri"/>
        <family val="2"/>
      </rPr>
      <t xml:space="preserve"> 5CBM </t>
    </r>
    <r>
      <rPr>
        <sz val="11"/>
        <color rgb="FF000000"/>
        <rFont val="돋움"/>
        <family val="3"/>
        <charset val="129"/>
      </rPr>
      <t>캔슬됨</t>
    </r>
    <phoneticPr fontId="34" type="noConversion"/>
  </si>
  <si>
    <r>
      <t>2</t>
    </r>
    <r>
      <rPr>
        <sz val="11"/>
        <color rgb="FF000000"/>
        <rFont val="Calibri"/>
        <family val="2"/>
      </rPr>
      <t>. 40</t>
    </r>
    <r>
      <rPr>
        <sz val="11"/>
        <color rgb="FF000000"/>
        <rFont val="돋움"/>
        <family val="3"/>
        <charset val="129"/>
      </rPr>
      <t>컨에</t>
    </r>
    <r>
      <rPr>
        <sz val="11"/>
        <color rgb="FF000000"/>
        <rFont val="Calibri"/>
        <family val="2"/>
      </rPr>
      <t xml:space="preserve"> 40CBM</t>
    </r>
    <r>
      <rPr>
        <sz val="11"/>
        <color rgb="FF000000"/>
        <rFont val="돋움"/>
        <family val="3"/>
        <charset val="129"/>
      </rPr>
      <t>밖에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못채움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망한작업</t>
    </r>
    <phoneticPr fontId="34" type="noConversion"/>
  </si>
  <si>
    <r>
      <t>3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계산했을땐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다단금지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고려제강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TOTAL 40</t>
    </r>
    <r>
      <rPr>
        <sz val="11"/>
        <color rgb="FF000000"/>
        <rFont val="돋움"/>
        <family val="3"/>
        <charset val="129"/>
      </rPr>
      <t>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안들어가보이는데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안들어가는게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맞는지</t>
    </r>
    <phoneticPr fontId="34" type="noConversion"/>
  </si>
  <si>
    <r>
      <t>7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둠</t>
    </r>
    <phoneticPr fontId="34" type="noConversion"/>
  </si>
  <si>
    <r>
      <rPr>
        <sz val="11"/>
        <color rgb="FF000000"/>
        <rFont val="돋움"/>
        <family val="3"/>
        <charset val="129"/>
      </rPr>
      <t>세개를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좁은것들과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쌓기</t>
    </r>
    <r>
      <rPr>
        <sz val="11"/>
        <color rgb="FF000000"/>
        <rFont val="Calibri"/>
        <family val="2"/>
      </rPr>
      <t xml:space="preserve"> EX)</t>
    </r>
    <r>
      <rPr>
        <sz val="11"/>
        <color rgb="FF000000"/>
        <rFont val="돋움"/>
        <family val="3"/>
        <charset val="129"/>
      </rPr>
      <t>원택</t>
    </r>
    <phoneticPr fontId="34" type="noConversion"/>
  </si>
  <si>
    <r>
      <t xml:space="preserve">76, 83 </t>
    </r>
    <r>
      <rPr>
        <sz val="11"/>
        <color rgb="FF000000"/>
        <rFont val="돋움"/>
        <family val="3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좁은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원택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높이</t>
    </r>
    <r>
      <rPr>
        <sz val="11"/>
        <color rgb="FF000000"/>
        <rFont val="Calibri"/>
        <family val="2"/>
      </rPr>
      <t>151</t>
    </r>
    <r>
      <rPr>
        <sz val="11"/>
        <color rgb="FF000000"/>
        <rFont val="돋움"/>
        <family val="3"/>
        <charset val="129"/>
      </rPr>
      <t>개짜리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세개들어감</t>
    </r>
    <phoneticPr fontId="34" type="noConversion"/>
  </si>
  <si>
    <r>
      <t xml:space="preserve">*계근요청*계근료팔렛당5천원화주청구 
</t>
    </r>
    <r>
      <rPr>
        <sz val="7"/>
        <color rgb="FF000000"/>
        <rFont val="맑은 고딕"/>
        <family val="3"/>
        <charset val="129"/>
      </rPr>
      <t>110*110*160</t>
    </r>
    <phoneticPr fontId="34" type="noConversion"/>
  </si>
  <si>
    <r>
      <rPr>
        <sz val="11"/>
        <color rgb="FF000000"/>
        <rFont val="돋움"/>
        <family val="3"/>
        <charset val="129"/>
      </rPr>
      <t>높이가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놎이가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화물들과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4" type="noConversion"/>
  </si>
  <si>
    <r>
      <rPr>
        <sz val="11"/>
        <color rgb="FF000000"/>
        <rFont val="Calibri"/>
      </rPr>
      <t>-</t>
    </r>
    <r>
      <rPr>
        <sz val="11"/>
        <color rgb="FF000000"/>
        <rFont val="Calibri"/>
        <family val="2"/>
      </rPr>
      <t xml:space="preserve">&gt; </t>
    </r>
    <r>
      <rPr>
        <sz val="11"/>
        <color rgb="FF000000"/>
        <rFont val="돋움"/>
        <family val="3"/>
        <charset val="129"/>
      </rPr>
      <t>카톤이라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CBM </t>
    </r>
    <r>
      <rPr>
        <sz val="11"/>
        <color rgb="FF000000"/>
        <rFont val="돋움"/>
        <family val="3"/>
        <charset val="129"/>
      </rPr>
      <t>여유있으면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들어가는거임</t>
    </r>
    <phoneticPr fontId="34" type="noConversion"/>
  </si>
  <si>
    <r>
      <t>1</t>
    </r>
    <r>
      <rPr>
        <sz val="7"/>
        <color rgb="FF000000"/>
        <rFont val="맑은 고딕"/>
        <family val="3"/>
        <charset val="129"/>
      </rPr>
      <t>10*110*196</t>
    </r>
    <phoneticPr fontId="34" type="noConversion"/>
  </si>
  <si>
    <r>
      <rPr>
        <sz val="11"/>
        <color rgb="FF000000"/>
        <rFont val="돋움"/>
        <family val="3"/>
        <charset val="129"/>
      </rPr>
      <t>높이가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제한적임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에코마인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높이</t>
    </r>
    <r>
      <rPr>
        <sz val="11"/>
        <color rgb="FF000000"/>
        <rFont val="Calibri"/>
        <family val="2"/>
      </rPr>
      <t xml:space="preserve"> 68</t>
    </r>
    <r>
      <rPr>
        <sz val="11"/>
        <color rgb="FF000000"/>
        <rFont val="돋움"/>
        <family val="3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위에쌓기</t>
    </r>
    <phoneticPr fontId="34" type="noConversion"/>
  </si>
  <si>
    <r>
      <t>2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미리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들어온것들로</t>
    </r>
    <r>
      <rPr>
        <sz val="11"/>
        <color rgb="FF000000"/>
        <rFont val="Calibri"/>
        <family val="2"/>
      </rPr>
      <t xml:space="preserve"> 20 </t>
    </r>
    <r>
      <rPr>
        <sz val="11"/>
        <color rgb="FF000000"/>
        <rFont val="돋움"/>
        <family val="3"/>
        <charset val="129"/>
      </rPr>
      <t>채웠음</t>
    </r>
    <phoneticPr fontId="34" type="noConversion"/>
  </si>
  <si>
    <t>120x110x123(2) , 120x110x163(2) , 120x110x166(1)</t>
  </si>
  <si>
    <t xml:space="preserve">N/AWOT / </t>
  </si>
  <si>
    <t>테크리치</t>
  </si>
  <si>
    <t>FBSIN260405</t>
  </si>
  <si>
    <r>
      <t>1.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</rPr>
      <t xml:space="preserve"> TOTAL 65CBM </t>
    </r>
    <r>
      <rPr>
        <sz val="11"/>
        <color rgb="FF000000"/>
        <rFont val="돋움"/>
        <family val="3"/>
        <charset val="129"/>
      </rPr>
      <t>정도라</t>
    </r>
    <r>
      <rPr>
        <sz val="11"/>
        <color rgb="FF000000"/>
        <rFont val="Calibri"/>
      </rPr>
      <t xml:space="preserve"> 40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</rPr>
      <t>/20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나눴는데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당일</t>
    </r>
    <r>
      <rPr>
        <sz val="11"/>
        <color rgb="FF000000"/>
        <rFont val="Calibri"/>
      </rPr>
      <t xml:space="preserve"> 5CBM </t>
    </r>
    <r>
      <rPr>
        <sz val="11"/>
        <color rgb="FF000000"/>
        <rFont val="돋움"/>
        <family val="3"/>
        <charset val="129"/>
      </rPr>
      <t>캔슬됨</t>
    </r>
    <phoneticPr fontId="34" type="noConversion"/>
  </si>
  <si>
    <t xml:space="preserve">91x86x103(1) , 107x107x107(2) , 112x112x112(5) </t>
    <phoneticPr fontId="34" type="noConversion"/>
  </si>
  <si>
    <t xml:space="preserve">N/PKG KOREA / </t>
  </si>
  <si>
    <t>해원IND</t>
  </si>
  <si>
    <t>FBSIN260350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</si>
</sst>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5" fillId="16" borderId="16" xfId="0" applyFont="1" applyFill="1" applyBorder="1" applyAlignment="1">
      <alignment horizontal="center" vertical="center" wrapText="1"/>
    </xf>
    <xf numFmtId="49" fontId="16" fillId="17" borderId="17" xfId="0" applyNumberFormat="1" applyFont="1" applyFill="1" applyBorder="1" applyAlignment="1">
      <alignment horizontal="center" vertical="center" wrapText="1"/>
    </xf>
    <xf numFmtId="0" fontId="17" fillId="18" borderId="18" xfId="0" applyFont="1" applyFill="1" applyBorder="1" applyAlignment="1">
      <alignment horizontal="right" vertical="center" wrapText="1"/>
    </xf>
    <xf numFmtId="0" fontId="18" fillId="19" borderId="19" xfId="0" applyFont="1" applyFill="1" applyBorder="1" applyAlignment="1">
      <alignment horizontal="center" vertical="center" wrapText="1"/>
    </xf>
    <xf numFmtId="0" fontId="19" fillId="20" borderId="20" xfId="0" applyFont="1" applyFill="1" applyBorder="1" applyAlignment="1">
      <alignment horizontal="center" vertical="center" wrapText="1"/>
    </xf>
    <xf numFmtId="49" fontId="21" fillId="22" borderId="22" xfId="0" applyNumberFormat="1" applyFont="1" applyFill="1" applyBorder="1" applyAlignment="1">
      <alignment horizontal="center" vertical="center" wrapText="1"/>
    </xf>
    <xf numFmtId="3" fontId="24" fillId="25" borderId="25" xfId="0" applyNumberFormat="1" applyFont="1" applyFill="1" applyBorder="1" applyAlignment="1">
      <alignment horizontal="right" vertical="center" wrapText="1"/>
    </xf>
    <xf numFmtId="4" fontId="26" fillId="27" borderId="27" xfId="0" applyNumberFormat="1" applyFont="1" applyFill="1" applyBorder="1" applyAlignment="1">
      <alignment horizontal="right" vertical="center" wrapText="1"/>
    </xf>
    <xf numFmtId="0" fontId="35" fillId="0" borderId="0" xfId="0" applyFont="1">
      <alignment vertical="center"/>
    </xf>
    <xf numFmtId="0" fontId="35" fillId="0" borderId="0" xfId="0" quotePrefix="1" applyFont="1">
      <alignment vertical="center"/>
    </xf>
    <xf numFmtId="4" fontId="7" fillId="34" borderId="34" xfId="0" applyNumberFormat="1" applyFont="1" applyFill="1" applyBorder="1" applyAlignment="1">
      <alignment horizontal="right" vertical="center" wrapText="1"/>
    </xf>
    <xf numFmtId="3" fontId="7" fillId="34" borderId="34" xfId="0" applyNumberFormat="1" applyFont="1" applyFill="1" applyBorder="1" applyAlignment="1">
      <alignment horizontal="right" vertical="center" wrapText="1"/>
    </xf>
    <xf numFmtId="49" fontId="7" fillId="34" borderId="34" xfId="0" applyNumberFormat="1" applyFont="1" applyFill="1" applyBorder="1" applyAlignment="1">
      <alignment horizontal="center" vertical="center" wrapText="1"/>
    </xf>
    <xf numFmtId="49" fontId="19" fillId="34" borderId="34" xfId="0" applyNumberFormat="1" applyFont="1" applyFill="1" applyBorder="1" applyAlignment="1">
      <alignment horizontal="center" vertical="center" wrapText="1"/>
    </xf>
    <xf numFmtId="0" fontId="19" fillId="34" borderId="34" xfId="0" applyFont="1" applyFill="1" applyBorder="1" applyAlignment="1">
      <alignment horizontal="center" vertical="center" wrapText="1"/>
    </xf>
    <xf numFmtId="0" fontId="7" fillId="34" borderId="34" xfId="0" applyFont="1" applyFill="1" applyBorder="1" applyAlignment="1">
      <alignment horizontal="center" vertical="center" wrapText="1"/>
    </xf>
    <xf numFmtId="3" fontId="7" fillId="34" borderId="34" xfId="0" applyNumberFormat="1" applyFont="1" applyFill="1" applyBorder="1" applyAlignment="1">
      <alignment horizontal="right" vertical="center" wrapText="1"/>
    </xf>
    <xf numFmtId="4" fontId="7" fillId="34" borderId="34" xfId="0" applyNumberFormat="1" applyFont="1" applyFill="1" applyBorder="1" applyAlignment="1">
      <alignment horizontal="right" vertical="center" wrapText="1"/>
    </xf>
    <xf numFmtId="49" fontId="19" fillId="34" borderId="34" xfId="0" applyNumberFormat="1" applyFont="1" applyFill="1" applyBorder="1" applyAlignment="1">
      <alignment horizontal="left" vertical="center" wrapText="1"/>
    </xf>
    <xf numFmtId="0" fontId="4" fillId="34" borderId="34" xfId="0" applyFont="1" applyFill="1" applyBorder="1" applyAlignment="1">
      <alignment horizontal="left" vertical="center" wrapText="1"/>
    </xf>
    <xf numFmtId="0" fontId="4" fillId="21" borderId="8" xfId="0" applyFont="1" applyFill="1" applyBorder="1" applyAlignment="1">
      <alignment horizontal="center" vertical="center" wrapText="1"/>
    </xf>
    <xf numFmtId="49" fontId="7" fillId="34" borderId="34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3" fillId="34" borderId="35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left" vertical="center" wrapText="1"/>
    </xf>
    <xf numFmtId="49" fontId="10" fillId="11" borderId="11" xfId="0" applyNumberFormat="1" applyFont="1" applyFill="1" applyBorder="1" applyAlignment="1">
      <alignment horizontal="left" vertical="center" wrapText="1"/>
    </xf>
    <xf numFmtId="49" fontId="11" fillId="12" borderId="12" xfId="0" applyNumberFormat="1" applyFont="1" applyFill="1" applyBorder="1" applyAlignment="1">
      <alignment horizontal="left" vertical="top" wrapText="1"/>
    </xf>
    <xf numFmtId="49" fontId="12" fillId="13" borderId="13" xfId="0" applyNumberFormat="1" applyFont="1" applyFill="1" applyBorder="1" applyAlignment="1">
      <alignment horizontal="left" vertical="center" wrapText="1"/>
    </xf>
    <xf numFmtId="49" fontId="13" fillId="14" borderId="14" xfId="0" applyNumberFormat="1" applyFont="1" applyFill="1" applyBorder="1" applyAlignment="1">
      <alignment horizontal="left" vertical="center" wrapText="1"/>
    </xf>
    <xf numFmtId="49" fontId="14" fillId="15" borderId="15" xfId="0" applyNumberFormat="1" applyFont="1" applyFill="1" applyBorder="1" applyAlignment="1">
      <alignment horizontal="left" vertical="center" wrapText="1"/>
    </xf>
    <xf numFmtId="0" fontId="20" fillId="21" borderId="21" xfId="0" applyFont="1" applyFill="1" applyBorder="1" applyAlignment="1">
      <alignment horizontal="center" vertical="center" wrapText="1"/>
    </xf>
    <xf numFmtId="49" fontId="22" fillId="23" borderId="23" xfId="0" applyNumberFormat="1" applyFont="1" applyFill="1" applyBorder="1" applyAlignment="1">
      <alignment horizontal="center" vertical="center" wrapText="1"/>
    </xf>
    <xf numFmtId="49" fontId="23" fillId="24" borderId="24" xfId="0" applyNumberFormat="1" applyFont="1" applyFill="1" applyBorder="1" applyAlignment="1">
      <alignment horizontal="center" vertical="center" wrapText="1"/>
    </xf>
    <xf numFmtId="0" fontId="25" fillId="26" borderId="26" xfId="0" applyFont="1" applyFill="1" applyBorder="1" applyAlignment="1">
      <alignment horizontal="left" vertical="center" wrapText="1"/>
    </xf>
    <xf numFmtId="49" fontId="27" fillId="28" borderId="28" xfId="0" applyNumberFormat="1" applyFont="1" applyFill="1" applyBorder="1" applyAlignment="1">
      <alignment horizontal="left" vertical="center" wrapText="1"/>
    </xf>
    <xf numFmtId="0" fontId="28" fillId="29" borderId="29" xfId="0" applyFont="1" applyFill="1" applyBorder="1" applyAlignment="1">
      <alignment horizontal="left" vertical="center" wrapText="1"/>
    </xf>
    <xf numFmtId="0" fontId="29" fillId="30" borderId="30" xfId="0" applyFont="1" applyFill="1" applyBorder="1" applyAlignment="1">
      <alignment horizontal="center" vertical="center" wrapText="1"/>
    </xf>
    <xf numFmtId="4" fontId="26" fillId="27" borderId="27" xfId="0" applyNumberFormat="1" applyFont="1" applyFill="1" applyBorder="1" applyAlignment="1">
      <alignment horizontal="right" vertical="center" wrapText="1"/>
    </xf>
    <xf numFmtId="0" fontId="30" fillId="31" borderId="31" xfId="0" applyFont="1" applyFill="1" applyBorder="1" applyAlignment="1">
      <alignment horizontal="center" vertical="center" wrapText="1"/>
    </xf>
    <xf numFmtId="49" fontId="31" fillId="32" borderId="32" xfId="0" applyNumberFormat="1" applyFont="1" applyFill="1" applyBorder="1" applyAlignment="1">
      <alignment horizontal="left" vertical="center" wrapText="1"/>
    </xf>
    <xf numFmtId="49" fontId="31" fillId="35" borderId="32" xfId="0" applyNumberFormat="1" applyFont="1" applyFill="1" applyBorder="1" applyAlignment="1">
      <alignment horizontal="left" vertical="center" wrapText="1"/>
    </xf>
    <xf numFmtId="0" fontId="32" fillId="35" borderId="33" xfId="0" applyFont="1" applyFill="1" applyBorder="1" applyAlignment="1">
      <alignment horizontal="left" vertical="center" wrapText="1"/>
    </xf>
    <xf numFmtId="49" fontId="19" fillId="32" borderId="32" xfId="0" applyNumberFormat="1" applyFont="1" applyFill="1" applyBorder="1" applyAlignment="1">
      <alignment horizontal="left" vertical="center" wrapText="1"/>
    </xf>
    <xf numFmtId="0" fontId="19" fillId="33" borderId="33" xfId="0" applyFont="1" applyFill="1" applyBorder="1" applyAlignment="1">
      <alignment horizontal="left" vertical="center" wrapText="1"/>
    </xf>
    <xf numFmtId="0" fontId="32" fillId="33" borderId="33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"/>
  <sheetViews>
    <sheetView showGridLines="0" tabSelected="1" topLeftCell="A15" workbookViewId="0">
      <selection activeCell="AG19" sqref="AG19"/>
    </sheetView>
  </sheetViews>
  <sheetFormatPr defaultRowHeight="14.25" x14ac:dyDescent="0.45"/>
  <cols>
    <col min="1" max="1" width="4.265625" customWidth="1"/>
    <col min="2" max="2" width="3.3984375" customWidth="1"/>
    <col min="3" max="3" width="0.59765625" customWidth="1"/>
    <col min="4" max="4" width="6.59765625" customWidth="1"/>
    <col min="5" max="5" width="7.73046875" customWidth="1"/>
    <col min="6" max="6" width="9" customWidth="1"/>
    <col min="7" max="7" width="3.265625" customWidth="1"/>
    <col min="8" max="8" width="7.59765625" customWidth="1"/>
    <col min="9" max="9" width="3.1328125" customWidth="1"/>
    <col min="10" max="10" width="3.265625" customWidth="1"/>
    <col min="11" max="11" width="3.86328125" customWidth="1"/>
    <col min="12" max="12" width="3" customWidth="1"/>
    <col min="13" max="13" width="2.73046875" customWidth="1"/>
    <col min="14" max="14" width="7.265625" customWidth="1"/>
    <col min="15" max="15" width="8.3984375" customWidth="1"/>
    <col min="16" max="16" width="9.265625" customWidth="1"/>
    <col min="17" max="17" width="6" customWidth="1"/>
    <col min="18" max="18" width="7.1328125" customWidth="1"/>
    <col min="19" max="19" width="4.59765625" customWidth="1"/>
    <col min="20" max="20" width="9.59765625" customWidth="1"/>
    <col min="21" max="21" width="8.86328125" customWidth="1"/>
    <col min="22" max="22" width="5.265625" customWidth="1"/>
    <col min="23" max="23" width="1.265625" customWidth="1"/>
    <col min="24" max="24" width="3.86328125" customWidth="1"/>
    <col min="25" max="25" width="6.3984375" customWidth="1"/>
    <col min="26" max="26" width="8.59765625" customWidth="1"/>
    <col min="27" max="27" width="6.3984375" customWidth="1"/>
    <col min="28" max="29" width="0.73046875" customWidth="1"/>
  </cols>
  <sheetData>
    <row r="1" spans="1:29" ht="19.5" customHeight="1" x14ac:dyDescent="0.45"/>
    <row r="2" spans="1:29" ht="15" customHeight="1" x14ac:dyDescent="0.45">
      <c r="A2" s="26"/>
      <c r="B2" s="26"/>
      <c r="D2" s="35" t="s">
        <v>24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44" t="s">
        <v>98</v>
      </c>
      <c r="W2" s="44"/>
      <c r="X2" s="44"/>
      <c r="Y2" s="44"/>
      <c r="Z2" s="44"/>
      <c r="AA2" s="44"/>
      <c r="AB2" s="44"/>
      <c r="AC2" s="44"/>
    </row>
    <row r="3" spans="1:29" ht="1.5" customHeight="1" x14ac:dyDescent="0.45">
      <c r="A3" s="26"/>
      <c r="B3" s="26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45" t="s">
        <v>99</v>
      </c>
      <c r="W3" s="48" t="s">
        <v>104</v>
      </c>
      <c r="X3" s="44" t="s">
        <v>105</v>
      </c>
      <c r="Y3" s="44"/>
      <c r="Z3" s="44"/>
      <c r="AA3" s="44"/>
      <c r="AB3" s="44"/>
      <c r="AC3" s="44"/>
    </row>
    <row r="4" spans="1:29" ht="3" customHeight="1" x14ac:dyDescent="0.45">
      <c r="A4" s="26"/>
      <c r="B4" s="26"/>
      <c r="V4" s="45"/>
      <c r="W4" s="48"/>
      <c r="X4" s="44"/>
      <c r="Y4" s="44"/>
      <c r="Z4" s="44"/>
      <c r="AA4" s="44"/>
      <c r="AB4" s="44"/>
      <c r="AC4" s="44"/>
    </row>
    <row r="5" spans="1:29" ht="11.25" customHeight="1" x14ac:dyDescent="0.45">
      <c r="A5" s="26"/>
      <c r="B5" s="26"/>
      <c r="D5" s="36" t="s">
        <v>25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45"/>
      <c r="W5" s="48"/>
      <c r="X5" s="44"/>
      <c r="Y5" s="44"/>
      <c r="Z5" s="44"/>
      <c r="AA5" s="44"/>
      <c r="AB5" s="44"/>
      <c r="AC5" s="44"/>
    </row>
    <row r="6" spans="1:29" ht="2.25" customHeight="1" x14ac:dyDescent="0.45"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45"/>
      <c r="W6" s="48"/>
      <c r="X6" s="44"/>
      <c r="Y6" s="44"/>
      <c r="Z6" s="44"/>
      <c r="AA6" s="44"/>
      <c r="AB6" s="44"/>
      <c r="AC6" s="44"/>
    </row>
    <row r="7" spans="1:29" ht="1.5" customHeight="1" x14ac:dyDescent="0.45"/>
    <row r="8" spans="1:29" ht="2.25" customHeight="1" x14ac:dyDescent="0.4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9" ht="10.5" customHeight="1" x14ac:dyDescent="0.45">
      <c r="A9" s="28" t="s">
        <v>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 t="s">
        <v>123</v>
      </c>
      <c r="AA9" s="29"/>
      <c r="AB9" s="28"/>
    </row>
    <row r="10" spans="1:29" ht="11.25" customHeight="1" x14ac:dyDescent="0.4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 t="s">
        <v>124</v>
      </c>
      <c r="AA10" s="28"/>
      <c r="AB10" s="28"/>
    </row>
    <row r="11" spans="1:29" ht="1.5" customHeight="1" x14ac:dyDescent="0.4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9" ht="1.5" customHeight="1" x14ac:dyDescent="0.45"/>
    <row r="13" spans="1:29" ht="18" customHeight="1" x14ac:dyDescent="0.45">
      <c r="A13" s="30" t="s">
        <v>1</v>
      </c>
      <c r="B13" s="30"/>
      <c r="C13" s="30"/>
      <c r="D13" s="30"/>
      <c r="E13" s="37" t="s">
        <v>26</v>
      </c>
      <c r="F13" s="37"/>
      <c r="G13" s="37"/>
      <c r="H13" s="6" t="s">
        <v>34</v>
      </c>
      <c r="I13" s="37" t="s">
        <v>35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43" t="s">
        <v>92</v>
      </c>
      <c r="U13" s="43"/>
      <c r="V13" s="37" t="s">
        <v>100</v>
      </c>
      <c r="W13" s="37"/>
      <c r="X13" s="37"/>
      <c r="Y13" s="37"/>
      <c r="Z13" s="37"/>
      <c r="AA13" s="37"/>
      <c r="AB13" s="37"/>
      <c r="AC13" s="37"/>
    </row>
    <row r="14" spans="1:29" ht="14.25" customHeight="1" x14ac:dyDescent="0.45">
      <c r="A14" s="31" t="s">
        <v>2</v>
      </c>
      <c r="B14" s="31"/>
      <c r="C14" s="31"/>
      <c r="D14" s="31"/>
      <c r="E14" s="38" t="s">
        <v>27</v>
      </c>
      <c r="F14" s="38"/>
      <c r="G14" s="38"/>
      <c r="H14" s="38"/>
      <c r="I14" s="38"/>
      <c r="J14" s="38"/>
      <c r="K14" s="38"/>
      <c r="L14" s="33" t="s">
        <v>39</v>
      </c>
      <c r="M14" s="33"/>
      <c r="N14" s="33"/>
      <c r="O14" s="41" t="s">
        <v>65</v>
      </c>
      <c r="P14" s="41"/>
      <c r="Q14" s="41"/>
      <c r="R14" s="41"/>
      <c r="S14" s="41"/>
      <c r="T14" s="33" t="s">
        <v>93</v>
      </c>
      <c r="U14" s="33"/>
      <c r="V14" s="41" t="s">
        <v>101</v>
      </c>
      <c r="W14" s="41"/>
      <c r="X14" s="41"/>
      <c r="Y14" s="41"/>
      <c r="Z14" s="41"/>
      <c r="AA14" s="41"/>
      <c r="AB14" s="41"/>
      <c r="AC14" s="41"/>
    </row>
    <row r="15" spans="1:29" ht="13.5" customHeight="1" x14ac:dyDescent="0.45">
      <c r="A15" s="32" t="s">
        <v>3</v>
      </c>
      <c r="B15" s="32"/>
      <c r="C15" s="32"/>
      <c r="D15" s="32"/>
      <c r="E15" s="39" t="s">
        <v>28</v>
      </c>
      <c r="F15" s="39"/>
      <c r="G15" s="39"/>
      <c r="H15" s="39"/>
      <c r="I15" s="39"/>
      <c r="J15" s="39"/>
      <c r="K15" s="39"/>
      <c r="L15" s="40" t="s">
        <v>40</v>
      </c>
      <c r="M15" s="40"/>
      <c r="N15" s="40"/>
      <c r="O15" s="42" t="s">
        <v>66</v>
      </c>
      <c r="P15" s="42"/>
      <c r="Q15" s="42" t="s">
        <v>85</v>
      </c>
      <c r="R15" s="42"/>
      <c r="S15" s="42"/>
      <c r="T15" s="40" t="s">
        <v>94</v>
      </c>
      <c r="U15" s="40"/>
      <c r="V15" s="42" t="s">
        <v>102</v>
      </c>
      <c r="W15" s="42"/>
      <c r="X15" s="42"/>
      <c r="Y15" s="42"/>
      <c r="Z15" s="42"/>
      <c r="AA15" s="42"/>
      <c r="AB15" s="42"/>
      <c r="AC15" s="42"/>
    </row>
    <row r="16" spans="1:29" ht="14.25" customHeight="1" x14ac:dyDescent="0.45">
      <c r="A16" s="32" t="s">
        <v>4</v>
      </c>
      <c r="B16" s="32"/>
      <c r="C16" s="32"/>
      <c r="D16" s="32"/>
      <c r="E16" s="39" t="s">
        <v>29</v>
      </c>
      <c r="F16" s="39"/>
      <c r="G16" s="39"/>
      <c r="H16" s="39"/>
      <c r="I16" s="39"/>
      <c r="J16" s="39"/>
      <c r="K16" s="39"/>
      <c r="L16" s="40" t="s">
        <v>41</v>
      </c>
      <c r="M16" s="40"/>
      <c r="N16" s="40"/>
      <c r="O16" s="42" t="s">
        <v>67</v>
      </c>
      <c r="P16" s="42"/>
      <c r="Q16" s="42"/>
      <c r="R16" s="42"/>
      <c r="S16" s="42"/>
      <c r="T16" s="40" t="s">
        <v>95</v>
      </c>
      <c r="U16" s="40"/>
      <c r="V16" s="46"/>
      <c r="W16" s="46"/>
      <c r="X16" s="46"/>
      <c r="Y16" s="46"/>
      <c r="Z16" s="46"/>
      <c r="AA16" s="46"/>
      <c r="AB16" s="46"/>
      <c r="AC16" s="46"/>
    </row>
    <row r="17" spans="1:30" ht="14.25" customHeight="1" x14ac:dyDescent="0.45">
      <c r="A17" s="1" t="s">
        <v>5</v>
      </c>
      <c r="B17" s="33" t="s">
        <v>7</v>
      </c>
      <c r="C17" s="33"/>
      <c r="D17" s="33"/>
      <c r="E17" s="33"/>
      <c r="F17" s="3" t="s">
        <v>30</v>
      </c>
      <c r="G17" s="33" t="s">
        <v>33</v>
      </c>
      <c r="H17" s="33"/>
      <c r="I17" s="33"/>
      <c r="J17" s="7" t="s">
        <v>36</v>
      </c>
      <c r="K17" s="7" t="s">
        <v>37</v>
      </c>
      <c r="L17" s="7" t="s">
        <v>42</v>
      </c>
      <c r="M17" s="7" t="s">
        <v>43</v>
      </c>
      <c r="N17" s="33" t="s">
        <v>45</v>
      </c>
      <c r="O17" s="33"/>
      <c r="P17" s="33" t="s">
        <v>68</v>
      </c>
      <c r="Q17" s="33"/>
      <c r="R17" s="33" t="s">
        <v>86</v>
      </c>
      <c r="S17" s="33"/>
      <c r="T17" s="3" t="s">
        <v>96</v>
      </c>
      <c r="U17" s="3" t="s">
        <v>97</v>
      </c>
      <c r="V17" s="33" t="s">
        <v>103</v>
      </c>
      <c r="W17" s="33"/>
      <c r="X17" s="33"/>
      <c r="Y17" s="33" t="s">
        <v>106</v>
      </c>
      <c r="Z17" s="33"/>
      <c r="AA17" s="33"/>
      <c r="AB17" s="33"/>
      <c r="AC17" s="33"/>
    </row>
    <row r="18" spans="1:30" ht="24" customHeight="1" x14ac:dyDescent="0.45">
      <c r="A18" s="2">
        <v>1</v>
      </c>
      <c r="B18" s="34" t="s">
        <v>8</v>
      </c>
      <c r="C18" s="34"/>
      <c r="D18" s="34"/>
      <c r="E18" s="34"/>
      <c r="F18" s="4"/>
      <c r="G18" s="34" t="s">
        <v>8</v>
      </c>
      <c r="H18" s="34"/>
      <c r="I18" s="34"/>
      <c r="J18" s="8"/>
      <c r="K18" s="8" t="s">
        <v>38</v>
      </c>
      <c r="L18" s="8" t="s">
        <v>38</v>
      </c>
      <c r="M18" s="8"/>
      <c r="N18" s="34" t="s">
        <v>46</v>
      </c>
      <c r="O18" s="34"/>
      <c r="P18" s="34" t="s">
        <v>69</v>
      </c>
      <c r="Q18" s="34"/>
      <c r="R18" s="10">
        <v>1</v>
      </c>
      <c r="S18" s="4"/>
      <c r="T18" s="11">
        <v>1345</v>
      </c>
      <c r="U18" s="11">
        <v>0.93200000000000005</v>
      </c>
      <c r="V18" s="47">
        <v>0.93200000000000005</v>
      </c>
      <c r="W18" s="47"/>
      <c r="X18" s="47"/>
      <c r="Y18" s="49" t="s">
        <v>107</v>
      </c>
      <c r="Z18" s="49"/>
      <c r="AA18" s="49"/>
      <c r="AB18" s="49"/>
      <c r="AC18" s="49"/>
      <c r="AD18" s="12" t="s">
        <v>125</v>
      </c>
    </row>
    <row r="19" spans="1:30" ht="14.25" customHeight="1" x14ac:dyDescent="0.45">
      <c r="A19" s="2">
        <v>2</v>
      </c>
      <c r="B19" s="34" t="s">
        <v>9</v>
      </c>
      <c r="C19" s="34"/>
      <c r="D19" s="34"/>
      <c r="E19" s="34"/>
      <c r="F19" s="4"/>
      <c r="G19" s="34" t="s">
        <v>9</v>
      </c>
      <c r="H19" s="34"/>
      <c r="I19" s="34"/>
      <c r="J19" s="8"/>
      <c r="K19" s="8" t="s">
        <v>38</v>
      </c>
      <c r="L19" s="8" t="s">
        <v>38</v>
      </c>
      <c r="M19" s="9" t="s">
        <v>44</v>
      </c>
      <c r="N19" s="34" t="s">
        <v>47</v>
      </c>
      <c r="O19" s="34"/>
      <c r="P19" s="34" t="s">
        <v>70</v>
      </c>
      <c r="Q19" s="34"/>
      <c r="R19" s="10">
        <v>117</v>
      </c>
      <c r="S19" s="4"/>
      <c r="T19" s="11">
        <v>1700</v>
      </c>
      <c r="U19" s="11">
        <v>6.5359999999999996</v>
      </c>
      <c r="V19" s="47">
        <v>6.5359999999999996</v>
      </c>
      <c r="W19" s="47"/>
      <c r="X19" s="47"/>
      <c r="Y19" s="50" t="s">
        <v>108</v>
      </c>
      <c r="Z19" s="50"/>
      <c r="AA19" s="50"/>
      <c r="AB19" s="50"/>
      <c r="AC19" s="50"/>
      <c r="AD19" s="12" t="s">
        <v>126</v>
      </c>
    </row>
    <row r="20" spans="1:30" ht="15" customHeight="1" x14ac:dyDescent="0.45">
      <c r="A20" s="2">
        <v>3</v>
      </c>
      <c r="B20" s="34" t="s">
        <v>10</v>
      </c>
      <c r="C20" s="34"/>
      <c r="D20" s="34"/>
      <c r="E20" s="34"/>
      <c r="F20" s="4"/>
      <c r="G20" s="34" t="s">
        <v>10</v>
      </c>
      <c r="H20" s="34"/>
      <c r="I20" s="34"/>
      <c r="J20" s="8"/>
      <c r="K20" s="8" t="s">
        <v>38</v>
      </c>
      <c r="L20" s="8" t="s">
        <v>38</v>
      </c>
      <c r="M20" s="8"/>
      <c r="N20" s="34" t="s">
        <v>48</v>
      </c>
      <c r="O20" s="34"/>
      <c r="P20" s="34" t="s">
        <v>71</v>
      </c>
      <c r="Q20" s="34"/>
      <c r="R20" s="10">
        <v>4</v>
      </c>
      <c r="S20" s="5" t="s">
        <v>87</v>
      </c>
      <c r="T20" s="11">
        <v>1168</v>
      </c>
      <c r="U20" s="11">
        <v>1.369</v>
      </c>
      <c r="V20" s="47">
        <v>1.369</v>
      </c>
      <c r="W20" s="47"/>
      <c r="X20" s="47"/>
      <c r="Y20" s="49" t="s">
        <v>109</v>
      </c>
      <c r="Z20" s="49"/>
      <c r="AA20" s="49"/>
      <c r="AB20" s="49"/>
      <c r="AC20" s="49"/>
      <c r="AD20" s="12" t="s">
        <v>127</v>
      </c>
    </row>
    <row r="21" spans="1:30" ht="23.25" customHeight="1" x14ac:dyDescent="0.45">
      <c r="A21" s="2">
        <v>4</v>
      </c>
      <c r="B21" s="34" t="s">
        <v>11</v>
      </c>
      <c r="C21" s="34"/>
      <c r="D21" s="34"/>
      <c r="E21" s="34"/>
      <c r="F21" s="5" t="s">
        <v>31</v>
      </c>
      <c r="G21" s="34" t="s">
        <v>11</v>
      </c>
      <c r="H21" s="34"/>
      <c r="I21" s="34"/>
      <c r="J21" s="8"/>
      <c r="K21" s="8" t="s">
        <v>38</v>
      </c>
      <c r="L21" s="8" t="s">
        <v>38</v>
      </c>
      <c r="M21" s="9" t="s">
        <v>44</v>
      </c>
      <c r="N21" s="34" t="s">
        <v>49</v>
      </c>
      <c r="O21" s="34"/>
      <c r="P21" s="34" t="s">
        <v>72</v>
      </c>
      <c r="Q21" s="34"/>
      <c r="R21" s="10">
        <v>2</v>
      </c>
      <c r="S21" s="5" t="s">
        <v>87</v>
      </c>
      <c r="T21" s="11">
        <v>576.1</v>
      </c>
      <c r="U21" s="11">
        <v>2.931</v>
      </c>
      <c r="V21" s="47">
        <v>2.931</v>
      </c>
      <c r="W21" s="47"/>
      <c r="X21" s="47"/>
      <c r="Y21" s="49" t="s">
        <v>110</v>
      </c>
      <c r="Z21" s="49"/>
      <c r="AA21" s="49"/>
      <c r="AB21" s="49"/>
      <c r="AC21" s="49"/>
    </row>
    <row r="22" spans="1:30" ht="14.25" customHeight="1" x14ac:dyDescent="0.45">
      <c r="A22" s="2">
        <v>5</v>
      </c>
      <c r="B22" s="34" t="s">
        <v>12</v>
      </c>
      <c r="C22" s="34"/>
      <c r="D22" s="34"/>
      <c r="E22" s="34"/>
      <c r="F22" s="4"/>
      <c r="G22" s="34" t="s">
        <v>12</v>
      </c>
      <c r="H22" s="34"/>
      <c r="I22" s="34"/>
      <c r="J22" s="8"/>
      <c r="K22" s="8" t="s">
        <v>38</v>
      </c>
      <c r="L22" s="8" t="s">
        <v>38</v>
      </c>
      <c r="M22" s="9" t="s">
        <v>44</v>
      </c>
      <c r="N22" s="34" t="s">
        <v>50</v>
      </c>
      <c r="O22" s="34"/>
      <c r="P22" s="34" t="s">
        <v>73</v>
      </c>
      <c r="Q22" s="34"/>
      <c r="R22" s="10">
        <v>1</v>
      </c>
      <c r="S22" s="5" t="s">
        <v>87</v>
      </c>
      <c r="T22" s="11">
        <v>243</v>
      </c>
      <c r="U22" s="11">
        <v>0.82299999999999995</v>
      </c>
      <c r="V22" s="47">
        <v>0.82299999999999995</v>
      </c>
      <c r="W22" s="47"/>
      <c r="X22" s="47"/>
      <c r="Y22" s="49" t="s">
        <v>111</v>
      </c>
      <c r="Z22" s="49"/>
      <c r="AA22" s="49"/>
      <c r="AB22" s="49"/>
      <c r="AC22" s="49"/>
      <c r="AD22" s="13" t="s">
        <v>133</v>
      </c>
    </row>
    <row r="23" spans="1:30" ht="15" customHeight="1" x14ac:dyDescent="0.45">
      <c r="A23" s="2">
        <v>6</v>
      </c>
      <c r="B23" s="34" t="s">
        <v>12</v>
      </c>
      <c r="C23" s="34"/>
      <c r="D23" s="34"/>
      <c r="E23" s="34"/>
      <c r="F23" s="4"/>
      <c r="G23" s="34" t="s">
        <v>12</v>
      </c>
      <c r="H23" s="34"/>
      <c r="I23" s="34"/>
      <c r="J23" s="8"/>
      <c r="K23" s="8" t="s">
        <v>38</v>
      </c>
      <c r="L23" s="8" t="s">
        <v>38</v>
      </c>
      <c r="M23" s="9" t="s">
        <v>44</v>
      </c>
      <c r="N23" s="34" t="s">
        <v>51</v>
      </c>
      <c r="O23" s="34"/>
      <c r="P23" s="34" t="s">
        <v>73</v>
      </c>
      <c r="Q23" s="34"/>
      <c r="R23" s="10">
        <v>10</v>
      </c>
      <c r="S23" s="5" t="s">
        <v>88</v>
      </c>
      <c r="T23" s="11">
        <v>80</v>
      </c>
      <c r="U23" s="11">
        <v>0.71699999999999997</v>
      </c>
      <c r="V23" s="47">
        <v>0.71699999999999997</v>
      </c>
      <c r="W23" s="47"/>
      <c r="X23" s="47"/>
      <c r="Y23" s="51"/>
      <c r="Z23" s="51"/>
      <c r="AA23" s="51"/>
      <c r="AB23" s="51"/>
      <c r="AC23" s="51"/>
      <c r="AD23" s="12" t="s">
        <v>129</v>
      </c>
    </row>
    <row r="24" spans="1:30" ht="14.25" customHeight="1" x14ac:dyDescent="0.45">
      <c r="A24" s="2">
        <v>7</v>
      </c>
      <c r="B24" s="34" t="s">
        <v>12</v>
      </c>
      <c r="C24" s="34"/>
      <c r="D24" s="34"/>
      <c r="E24" s="34"/>
      <c r="F24" s="4"/>
      <c r="G24" s="34" t="s">
        <v>12</v>
      </c>
      <c r="H24" s="34"/>
      <c r="I24" s="34"/>
      <c r="J24" s="8"/>
      <c r="K24" s="8" t="s">
        <v>38</v>
      </c>
      <c r="L24" s="8" t="s">
        <v>38</v>
      </c>
      <c r="M24" s="9" t="s">
        <v>44</v>
      </c>
      <c r="N24" s="34" t="s">
        <v>52</v>
      </c>
      <c r="O24" s="34"/>
      <c r="P24" s="34" t="s">
        <v>73</v>
      </c>
      <c r="Q24" s="34"/>
      <c r="R24" s="10">
        <v>49</v>
      </c>
      <c r="S24" s="5" t="s">
        <v>88</v>
      </c>
      <c r="T24" s="11">
        <v>680</v>
      </c>
      <c r="U24" s="11">
        <v>2.0790000000000002</v>
      </c>
      <c r="V24" s="47">
        <v>2.0790000000000002</v>
      </c>
      <c r="W24" s="47"/>
      <c r="X24" s="47"/>
      <c r="Y24" s="50"/>
      <c r="Z24" s="50"/>
      <c r="AA24" s="50"/>
      <c r="AB24" s="50"/>
      <c r="AC24" s="50"/>
      <c r="AD24" s="12" t="s">
        <v>130</v>
      </c>
    </row>
    <row r="25" spans="1:30" ht="21" customHeight="1" x14ac:dyDescent="0.45">
      <c r="A25" s="2">
        <v>8</v>
      </c>
      <c r="B25" s="34" t="s">
        <v>13</v>
      </c>
      <c r="C25" s="34"/>
      <c r="D25" s="34"/>
      <c r="E25" s="34"/>
      <c r="F25" s="4"/>
      <c r="G25" s="34" t="s">
        <v>13</v>
      </c>
      <c r="H25" s="34"/>
      <c r="I25" s="34"/>
      <c r="J25" s="8"/>
      <c r="K25" s="8" t="s">
        <v>38</v>
      </c>
      <c r="L25" s="8" t="s">
        <v>38</v>
      </c>
      <c r="M25" s="8"/>
      <c r="N25" s="34" t="s">
        <v>53</v>
      </c>
      <c r="O25" s="34"/>
      <c r="P25" s="34" t="s">
        <v>74</v>
      </c>
      <c r="Q25" s="34"/>
      <c r="R25" s="10">
        <v>3</v>
      </c>
      <c r="S25" s="5" t="s">
        <v>87</v>
      </c>
      <c r="T25" s="11">
        <v>335</v>
      </c>
      <c r="U25" s="11">
        <v>1.099</v>
      </c>
      <c r="V25" s="47">
        <v>1.099</v>
      </c>
      <c r="W25" s="47"/>
      <c r="X25" s="47"/>
      <c r="Y25" s="49" t="s">
        <v>112</v>
      </c>
      <c r="Z25" s="49"/>
      <c r="AA25" s="49"/>
      <c r="AB25" s="49"/>
      <c r="AC25" s="49"/>
      <c r="AD25" s="12" t="s">
        <v>128</v>
      </c>
    </row>
    <row r="26" spans="1:30" ht="14.25" customHeight="1" x14ac:dyDescent="0.45">
      <c r="A26" s="2">
        <v>9</v>
      </c>
      <c r="B26" s="34" t="s">
        <v>14</v>
      </c>
      <c r="C26" s="34"/>
      <c r="D26" s="34"/>
      <c r="E26" s="34"/>
      <c r="F26" s="4"/>
      <c r="G26" s="34" t="s">
        <v>14</v>
      </c>
      <c r="H26" s="34"/>
      <c r="I26" s="34"/>
      <c r="J26" s="8"/>
      <c r="K26" s="8" t="s">
        <v>38</v>
      </c>
      <c r="L26" s="8" t="s">
        <v>38</v>
      </c>
      <c r="M26" s="8"/>
      <c r="N26" s="34" t="s">
        <v>54</v>
      </c>
      <c r="O26" s="34"/>
      <c r="P26" s="34" t="s">
        <v>75</v>
      </c>
      <c r="Q26" s="34"/>
      <c r="R26" s="10">
        <v>1</v>
      </c>
      <c r="S26" s="5" t="s">
        <v>89</v>
      </c>
      <c r="T26" s="11">
        <v>150</v>
      </c>
      <c r="U26" s="11">
        <v>0.29199999999999998</v>
      </c>
      <c r="V26" s="47">
        <v>0.29199999999999998</v>
      </c>
      <c r="W26" s="47"/>
      <c r="X26" s="47"/>
      <c r="Y26" s="49" t="s">
        <v>113</v>
      </c>
      <c r="Z26" s="49"/>
      <c r="AA26" s="49"/>
      <c r="AB26" s="49"/>
      <c r="AC26" s="49"/>
    </row>
    <row r="27" spans="1:30" ht="14.25" customHeight="1" x14ac:dyDescent="0.45">
      <c r="A27" s="2">
        <v>10</v>
      </c>
      <c r="B27" s="34" t="s">
        <v>15</v>
      </c>
      <c r="C27" s="34"/>
      <c r="D27" s="34"/>
      <c r="E27" s="34"/>
      <c r="F27" s="4"/>
      <c r="G27" s="34" t="s">
        <v>15</v>
      </c>
      <c r="H27" s="34"/>
      <c r="I27" s="34"/>
      <c r="J27" s="8"/>
      <c r="K27" s="8" t="s">
        <v>38</v>
      </c>
      <c r="L27" s="8" t="s">
        <v>38</v>
      </c>
      <c r="M27" s="9" t="s">
        <v>44</v>
      </c>
      <c r="N27" s="34" t="s">
        <v>55</v>
      </c>
      <c r="O27" s="34"/>
      <c r="P27" s="34" t="s">
        <v>76</v>
      </c>
      <c r="Q27" s="34"/>
      <c r="R27" s="10">
        <v>1</v>
      </c>
      <c r="S27" s="5" t="s">
        <v>87</v>
      </c>
      <c r="T27" s="11">
        <v>500</v>
      </c>
      <c r="U27" s="11">
        <v>1.004</v>
      </c>
      <c r="V27" s="47">
        <v>1.004</v>
      </c>
      <c r="W27" s="47"/>
      <c r="X27" s="47"/>
      <c r="Y27" s="49" t="s">
        <v>114</v>
      </c>
      <c r="Z27" s="49"/>
      <c r="AA27" s="49"/>
      <c r="AB27" s="49"/>
      <c r="AC27" s="49"/>
    </row>
    <row r="28" spans="1:30" ht="24" customHeight="1" x14ac:dyDescent="0.45">
      <c r="A28" s="2">
        <v>11</v>
      </c>
      <c r="B28" s="34" t="s">
        <v>16</v>
      </c>
      <c r="C28" s="34"/>
      <c r="D28" s="34"/>
      <c r="E28" s="34"/>
      <c r="F28" s="5" t="s">
        <v>32</v>
      </c>
      <c r="G28" s="34" t="s">
        <v>16</v>
      </c>
      <c r="H28" s="34"/>
      <c r="I28" s="34"/>
      <c r="J28" s="8"/>
      <c r="K28" s="8" t="s">
        <v>38</v>
      </c>
      <c r="L28" s="8" t="s">
        <v>38</v>
      </c>
      <c r="M28" s="8"/>
      <c r="N28" s="34" t="s">
        <v>56</v>
      </c>
      <c r="O28" s="34"/>
      <c r="P28" s="34" t="s">
        <v>77</v>
      </c>
      <c r="Q28" s="34"/>
      <c r="R28" s="10">
        <v>1</v>
      </c>
      <c r="S28" s="5" t="s">
        <v>90</v>
      </c>
      <c r="T28" s="11">
        <v>94</v>
      </c>
      <c r="U28" s="11">
        <v>0.435</v>
      </c>
      <c r="V28" s="47">
        <v>0.435</v>
      </c>
      <c r="W28" s="47"/>
      <c r="X28" s="47"/>
      <c r="Y28" s="49" t="s">
        <v>115</v>
      </c>
      <c r="Z28" s="49"/>
      <c r="AA28" s="49"/>
      <c r="AB28" s="49"/>
      <c r="AC28" s="49"/>
    </row>
    <row r="29" spans="1:30" ht="14.25" customHeight="1" x14ac:dyDescent="0.45">
      <c r="A29" s="2">
        <v>12</v>
      </c>
      <c r="B29" s="34" t="s">
        <v>17</v>
      </c>
      <c r="C29" s="34"/>
      <c r="D29" s="34"/>
      <c r="E29" s="34"/>
      <c r="F29" s="4"/>
      <c r="G29" s="34" t="s">
        <v>17</v>
      </c>
      <c r="H29" s="34"/>
      <c r="I29" s="34"/>
      <c r="J29" s="8"/>
      <c r="K29" s="8" t="s">
        <v>38</v>
      </c>
      <c r="L29" s="8" t="s">
        <v>38</v>
      </c>
      <c r="M29" s="8"/>
      <c r="N29" s="34" t="s">
        <v>57</v>
      </c>
      <c r="O29" s="34"/>
      <c r="P29" s="34" t="s">
        <v>78</v>
      </c>
      <c r="Q29" s="34"/>
      <c r="R29" s="10">
        <v>2</v>
      </c>
      <c r="S29" s="4"/>
      <c r="T29" s="11">
        <v>910</v>
      </c>
      <c r="U29" s="11">
        <v>2.867</v>
      </c>
      <c r="V29" s="47">
        <v>2.867</v>
      </c>
      <c r="W29" s="47"/>
      <c r="X29" s="47"/>
      <c r="Y29" s="49" t="s">
        <v>116</v>
      </c>
      <c r="Z29" s="49"/>
      <c r="AA29" s="49"/>
      <c r="AB29" s="49"/>
      <c r="AC29" s="49"/>
    </row>
    <row r="30" spans="1:30" ht="21" customHeight="1" x14ac:dyDescent="0.45">
      <c r="A30" s="2">
        <v>13</v>
      </c>
      <c r="B30" s="34" t="s">
        <v>18</v>
      </c>
      <c r="C30" s="34"/>
      <c r="D30" s="34"/>
      <c r="E30" s="34"/>
      <c r="F30" s="4"/>
      <c r="G30" s="34" t="s">
        <v>18</v>
      </c>
      <c r="H30" s="34"/>
      <c r="I30" s="34"/>
      <c r="J30" s="8"/>
      <c r="K30" s="8" t="s">
        <v>38</v>
      </c>
      <c r="L30" s="8" t="s">
        <v>38</v>
      </c>
      <c r="M30" s="8"/>
      <c r="N30" s="34" t="s">
        <v>58</v>
      </c>
      <c r="O30" s="34"/>
      <c r="P30" s="34" t="s">
        <v>79</v>
      </c>
      <c r="Q30" s="34"/>
      <c r="R30" s="10">
        <v>2</v>
      </c>
      <c r="S30" s="5" t="s">
        <v>91</v>
      </c>
      <c r="T30" s="11">
        <v>414</v>
      </c>
      <c r="U30" s="11">
        <v>1.22</v>
      </c>
      <c r="V30" s="47">
        <v>1.22</v>
      </c>
      <c r="W30" s="47"/>
      <c r="X30" s="47"/>
      <c r="Y30" s="49" t="s">
        <v>117</v>
      </c>
      <c r="Z30" s="49"/>
      <c r="AA30" s="49"/>
      <c r="AB30" s="49"/>
      <c r="AC30" s="49"/>
    </row>
    <row r="31" spans="1:30" ht="31.5" customHeight="1" x14ac:dyDescent="0.45">
      <c r="A31" s="2">
        <v>14</v>
      </c>
      <c r="B31" s="34" t="s">
        <v>19</v>
      </c>
      <c r="C31" s="34"/>
      <c r="D31" s="34"/>
      <c r="E31" s="34"/>
      <c r="F31" s="4"/>
      <c r="G31" s="34" t="s">
        <v>19</v>
      </c>
      <c r="H31" s="34"/>
      <c r="I31" s="34"/>
      <c r="J31" s="8"/>
      <c r="K31" s="8" t="s">
        <v>38</v>
      </c>
      <c r="L31" s="8" t="s">
        <v>38</v>
      </c>
      <c r="M31" s="9" t="s">
        <v>44</v>
      </c>
      <c r="N31" s="34" t="s">
        <v>59</v>
      </c>
      <c r="O31" s="34"/>
      <c r="P31" s="34" t="s">
        <v>80</v>
      </c>
      <c r="Q31" s="34"/>
      <c r="R31" s="10">
        <v>4</v>
      </c>
      <c r="S31" s="5" t="s">
        <v>87</v>
      </c>
      <c r="T31" s="11">
        <v>1715</v>
      </c>
      <c r="U31" s="11">
        <v>7.8049999999999997</v>
      </c>
      <c r="V31" s="47">
        <v>7.8049999999999997</v>
      </c>
      <c r="W31" s="47"/>
      <c r="X31" s="47"/>
      <c r="Y31" s="52" t="s">
        <v>131</v>
      </c>
      <c r="Z31" s="49"/>
      <c r="AA31" s="49"/>
      <c r="AB31" s="49"/>
      <c r="AC31" s="49"/>
      <c r="AD31" s="12" t="s">
        <v>132</v>
      </c>
    </row>
    <row r="32" spans="1:30" ht="21" customHeight="1" x14ac:dyDescent="0.45">
      <c r="A32" s="2">
        <v>15</v>
      </c>
      <c r="B32" s="34" t="s">
        <v>20</v>
      </c>
      <c r="C32" s="34"/>
      <c r="D32" s="34"/>
      <c r="E32" s="34"/>
      <c r="F32" s="4"/>
      <c r="G32" s="34" t="s">
        <v>20</v>
      </c>
      <c r="H32" s="34"/>
      <c r="I32" s="34"/>
      <c r="J32" s="8"/>
      <c r="K32" s="8" t="s">
        <v>38</v>
      </c>
      <c r="L32" s="8" t="s">
        <v>38</v>
      </c>
      <c r="M32" s="9" t="s">
        <v>44</v>
      </c>
      <c r="N32" s="34" t="s">
        <v>60</v>
      </c>
      <c r="O32" s="34"/>
      <c r="P32" s="34" t="s">
        <v>81</v>
      </c>
      <c r="Q32" s="34"/>
      <c r="R32" s="10">
        <v>5</v>
      </c>
      <c r="S32" s="5" t="s">
        <v>90</v>
      </c>
      <c r="T32" s="11">
        <v>375</v>
      </c>
      <c r="U32" s="11">
        <v>3.3439999999999999</v>
      </c>
      <c r="V32" s="47">
        <v>3.3439999999999999</v>
      </c>
      <c r="W32" s="47"/>
      <c r="X32" s="47"/>
      <c r="Y32" s="49" t="s">
        <v>118</v>
      </c>
      <c r="Z32" s="49"/>
      <c r="AA32" s="49"/>
      <c r="AB32" s="49"/>
      <c r="AC32" s="49"/>
    </row>
    <row r="33" spans="1:30" ht="21" customHeight="1" x14ac:dyDescent="0.45">
      <c r="A33" s="2">
        <v>16</v>
      </c>
      <c r="B33" s="34" t="s">
        <v>21</v>
      </c>
      <c r="C33" s="34"/>
      <c r="D33" s="34"/>
      <c r="E33" s="34"/>
      <c r="F33" s="4"/>
      <c r="G33" s="34" t="s">
        <v>21</v>
      </c>
      <c r="H33" s="34"/>
      <c r="I33" s="34"/>
      <c r="J33" s="8"/>
      <c r="K33" s="8" t="s">
        <v>38</v>
      </c>
      <c r="L33" s="8" t="s">
        <v>38</v>
      </c>
      <c r="M33" s="8"/>
      <c r="N33" s="34" t="s">
        <v>61</v>
      </c>
      <c r="O33" s="34"/>
      <c r="P33" s="34" t="s">
        <v>82</v>
      </c>
      <c r="Q33" s="34"/>
      <c r="R33" s="10">
        <v>1</v>
      </c>
      <c r="S33" s="5" t="s">
        <v>87</v>
      </c>
      <c r="T33" s="11">
        <v>660</v>
      </c>
      <c r="U33" s="11">
        <v>1.694</v>
      </c>
      <c r="V33" s="47">
        <v>1.694</v>
      </c>
      <c r="W33" s="47"/>
      <c r="X33" s="47"/>
      <c r="Y33" s="49" t="s">
        <v>119</v>
      </c>
      <c r="Z33" s="49"/>
      <c r="AA33" s="49"/>
      <c r="AB33" s="49"/>
      <c r="AC33" s="49"/>
    </row>
    <row r="34" spans="1:30" ht="14.25" customHeight="1" x14ac:dyDescent="0.45">
      <c r="A34" s="2">
        <v>17</v>
      </c>
      <c r="B34" s="34" t="s">
        <v>21</v>
      </c>
      <c r="C34" s="34"/>
      <c r="D34" s="34"/>
      <c r="E34" s="34"/>
      <c r="F34" s="4"/>
      <c r="G34" s="34" t="s">
        <v>21</v>
      </c>
      <c r="H34" s="34"/>
      <c r="I34" s="34"/>
      <c r="J34" s="8"/>
      <c r="K34" s="8" t="s">
        <v>38</v>
      </c>
      <c r="L34" s="8" t="s">
        <v>38</v>
      </c>
      <c r="M34" s="8"/>
      <c r="N34" s="34" t="s">
        <v>62</v>
      </c>
      <c r="O34" s="34"/>
      <c r="P34" s="34" t="s">
        <v>82</v>
      </c>
      <c r="Q34" s="34"/>
      <c r="R34" s="10">
        <v>1</v>
      </c>
      <c r="S34" s="5" t="s">
        <v>87</v>
      </c>
      <c r="T34" s="11">
        <v>0</v>
      </c>
      <c r="U34" s="11">
        <v>2.3719999999999999</v>
      </c>
      <c r="V34" s="47">
        <v>2.3719999999999999</v>
      </c>
      <c r="W34" s="47"/>
      <c r="X34" s="47"/>
      <c r="Y34" s="53" t="s">
        <v>134</v>
      </c>
      <c r="Z34" s="54"/>
      <c r="AA34" s="54"/>
      <c r="AB34" s="54"/>
      <c r="AC34" s="54"/>
      <c r="AD34" s="12" t="s">
        <v>135</v>
      </c>
    </row>
    <row r="35" spans="1:30" ht="14.25" customHeight="1" x14ac:dyDescent="0.45">
      <c r="A35" s="2">
        <v>18</v>
      </c>
      <c r="B35" s="34" t="s">
        <v>22</v>
      </c>
      <c r="C35" s="34"/>
      <c r="D35" s="34"/>
      <c r="E35" s="34"/>
      <c r="F35" s="4"/>
      <c r="G35" s="34" t="s">
        <v>22</v>
      </c>
      <c r="H35" s="34"/>
      <c r="I35" s="34"/>
      <c r="J35" s="8"/>
      <c r="K35" s="8" t="s">
        <v>38</v>
      </c>
      <c r="L35" s="8" t="s">
        <v>38</v>
      </c>
      <c r="M35" s="9" t="s">
        <v>44</v>
      </c>
      <c r="N35" s="34" t="s">
        <v>63</v>
      </c>
      <c r="O35" s="34"/>
      <c r="P35" s="34" t="s">
        <v>83</v>
      </c>
      <c r="Q35" s="34"/>
      <c r="R35" s="10">
        <v>1</v>
      </c>
      <c r="S35" s="5" t="s">
        <v>87</v>
      </c>
      <c r="T35" s="11">
        <v>228.9</v>
      </c>
      <c r="U35" s="11">
        <v>1.367</v>
      </c>
      <c r="V35" s="47">
        <v>1.367</v>
      </c>
      <c r="W35" s="47"/>
      <c r="X35" s="47"/>
      <c r="Y35" s="49" t="s">
        <v>120</v>
      </c>
      <c r="Z35" s="49"/>
      <c r="AA35" s="49"/>
      <c r="AB35" s="49"/>
      <c r="AC35" s="49"/>
    </row>
    <row r="36" spans="1:30" ht="24" customHeight="1" x14ac:dyDescent="0.45">
      <c r="A36" s="2">
        <v>19</v>
      </c>
      <c r="B36" s="34" t="s">
        <v>23</v>
      </c>
      <c r="C36" s="34"/>
      <c r="D36" s="34"/>
      <c r="E36" s="34"/>
      <c r="F36" s="4"/>
      <c r="G36" s="34" t="s">
        <v>23</v>
      </c>
      <c r="H36" s="34"/>
      <c r="I36" s="34"/>
      <c r="J36" s="8"/>
      <c r="K36" s="8" t="s">
        <v>38</v>
      </c>
      <c r="L36" s="8" t="s">
        <v>38</v>
      </c>
      <c r="M36" s="8"/>
      <c r="N36" s="34" t="s">
        <v>64</v>
      </c>
      <c r="O36" s="34"/>
      <c r="P36" s="34" t="s">
        <v>84</v>
      </c>
      <c r="Q36" s="34"/>
      <c r="R36" s="10">
        <v>1</v>
      </c>
      <c r="S36" s="5" t="s">
        <v>87</v>
      </c>
      <c r="T36" s="11">
        <v>294</v>
      </c>
      <c r="U36" s="11">
        <v>1.1240000000000001</v>
      </c>
      <c r="V36" s="47">
        <v>1.1240000000000001</v>
      </c>
      <c r="W36" s="47"/>
      <c r="X36" s="47"/>
      <c r="Y36" s="49" t="s">
        <v>121</v>
      </c>
      <c r="Z36" s="49"/>
      <c r="AA36" s="49"/>
      <c r="AB36" s="49"/>
      <c r="AC36" s="49"/>
    </row>
    <row r="37" spans="1:30" x14ac:dyDescent="0.45">
      <c r="A37" s="2">
        <v>20</v>
      </c>
      <c r="B37" s="25" t="s">
        <v>145</v>
      </c>
      <c r="C37" s="25"/>
      <c r="D37" s="25"/>
      <c r="E37" s="25"/>
      <c r="F37" s="19"/>
      <c r="G37" s="25" t="s">
        <v>145</v>
      </c>
      <c r="H37" s="25"/>
      <c r="I37" s="25"/>
      <c r="J37" s="18"/>
      <c r="K37" s="18" t="s">
        <v>38</v>
      </c>
      <c r="L37" s="18" t="s">
        <v>38</v>
      </c>
      <c r="M37" s="17" t="s">
        <v>44</v>
      </c>
      <c r="N37" s="25" t="s">
        <v>144</v>
      </c>
      <c r="O37" s="25"/>
      <c r="P37" s="25" t="s">
        <v>143</v>
      </c>
      <c r="Q37" s="25"/>
      <c r="R37" s="15">
        <v>8</v>
      </c>
      <c r="S37" s="16" t="s">
        <v>91</v>
      </c>
      <c r="T37" s="14">
        <v>4302</v>
      </c>
      <c r="U37" s="14">
        <v>10.281000000000001</v>
      </c>
      <c r="V37" s="21">
        <v>10.281000000000001</v>
      </c>
      <c r="W37" s="21"/>
      <c r="X37" s="21"/>
      <c r="Y37" s="22" t="s">
        <v>142</v>
      </c>
      <c r="Z37" s="22"/>
      <c r="AA37" s="22"/>
      <c r="AB37" s="22"/>
      <c r="AC37" s="22"/>
      <c r="AD37" s="12" t="s">
        <v>141</v>
      </c>
    </row>
    <row r="38" spans="1:30" x14ac:dyDescent="0.45">
      <c r="A38" s="2">
        <v>21</v>
      </c>
      <c r="B38" s="25" t="s">
        <v>140</v>
      </c>
      <c r="C38" s="25"/>
      <c r="D38" s="25"/>
      <c r="E38" s="25"/>
      <c r="F38" s="19"/>
      <c r="G38" s="25" t="s">
        <v>140</v>
      </c>
      <c r="H38" s="25"/>
      <c r="I38" s="25"/>
      <c r="J38" s="18"/>
      <c r="K38" s="18" t="s">
        <v>38</v>
      </c>
      <c r="L38" s="18" t="s">
        <v>38</v>
      </c>
      <c r="M38" s="17" t="s">
        <v>44</v>
      </c>
      <c r="N38" s="25" t="s">
        <v>139</v>
      </c>
      <c r="O38" s="25"/>
      <c r="P38" s="25" t="s">
        <v>138</v>
      </c>
      <c r="Q38" s="25"/>
      <c r="R38" s="15">
        <v>5</v>
      </c>
      <c r="S38" s="16" t="s">
        <v>87</v>
      </c>
      <c r="T38" s="14">
        <v>2400</v>
      </c>
      <c r="U38" s="14">
        <v>9.7409999999999997</v>
      </c>
      <c r="V38" s="21">
        <v>9.7409999999999997</v>
      </c>
      <c r="W38" s="21"/>
      <c r="X38" s="21"/>
      <c r="Y38" s="22" t="s">
        <v>137</v>
      </c>
      <c r="Z38" s="22"/>
      <c r="AA38" s="22"/>
      <c r="AB38" s="22"/>
      <c r="AC38" s="22"/>
      <c r="AD38" s="12" t="s">
        <v>136</v>
      </c>
    </row>
    <row r="39" spans="1:30" x14ac:dyDescent="0.45">
      <c r="A39" s="24" t="s">
        <v>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0">
        <f>SUM(R18:R38)</f>
        <v>220</v>
      </c>
      <c r="S39" s="20"/>
      <c r="T39" s="14">
        <f>SUM(T18:T38)</f>
        <v>18170</v>
      </c>
      <c r="U39" s="14">
        <f>SUM(U18:U38)</f>
        <v>60.032000000000004</v>
      </c>
      <c r="V39" s="21">
        <f>SUM(V18:X38)</f>
        <v>60.032000000000004</v>
      </c>
      <c r="W39" s="21"/>
      <c r="X39" s="21"/>
      <c r="Y39" s="23" t="s">
        <v>122</v>
      </c>
      <c r="Z39" s="23"/>
      <c r="AA39" s="23"/>
      <c r="AB39" s="23"/>
      <c r="AC39" s="23"/>
    </row>
  </sheetData>
  <mergeCells count="170">
    <mergeCell ref="Y36:AC36"/>
    <mergeCell ref="V29:X29"/>
    <mergeCell ref="V30:X30"/>
    <mergeCell ref="V31:X31"/>
    <mergeCell ref="V32:X32"/>
    <mergeCell ref="V33:X33"/>
    <mergeCell ref="V34:X34"/>
    <mergeCell ref="V35:X35"/>
    <mergeCell ref="V36:X36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Y34:AC34"/>
    <mergeCell ref="Y35:AC35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W3:W6"/>
    <mergeCell ref="X3:AC6"/>
    <mergeCell ref="Y17:AC17"/>
    <mergeCell ref="Y18:AC18"/>
    <mergeCell ref="Y19:AC19"/>
    <mergeCell ref="P33:Q33"/>
    <mergeCell ref="P34:Q34"/>
    <mergeCell ref="P35:Q35"/>
    <mergeCell ref="P36:Q36"/>
    <mergeCell ref="Q15:S15"/>
    <mergeCell ref="R17:S17"/>
    <mergeCell ref="T13:U13"/>
    <mergeCell ref="T14:U14"/>
    <mergeCell ref="T15:U15"/>
    <mergeCell ref="T16:U16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:B5"/>
    <mergeCell ref="A8:AB8"/>
    <mergeCell ref="A9:AB11"/>
    <mergeCell ref="A13:D13"/>
    <mergeCell ref="A14:D14"/>
    <mergeCell ref="A15:D15"/>
    <mergeCell ref="A16:D16"/>
    <mergeCell ref="B17:E17"/>
    <mergeCell ref="B18:E18"/>
    <mergeCell ref="D2:U3"/>
    <mergeCell ref="D5:U6"/>
    <mergeCell ref="E13:G13"/>
    <mergeCell ref="E14:K14"/>
    <mergeCell ref="E15:K15"/>
    <mergeCell ref="E16:K16"/>
    <mergeCell ref="G17:I17"/>
    <mergeCell ref="G18:I18"/>
    <mergeCell ref="I13:S13"/>
    <mergeCell ref="L14:N14"/>
    <mergeCell ref="L15:N15"/>
    <mergeCell ref="L16:N16"/>
    <mergeCell ref="N17:O17"/>
    <mergeCell ref="N18:O18"/>
    <mergeCell ref="O14:S14"/>
    <mergeCell ref="R39:S39"/>
    <mergeCell ref="V39:X39"/>
    <mergeCell ref="Y37:AC37"/>
    <mergeCell ref="Y38:AC38"/>
    <mergeCell ref="Y39:AC39"/>
    <mergeCell ref="V37:X37"/>
    <mergeCell ref="V38:X38"/>
    <mergeCell ref="A39:Q39"/>
    <mergeCell ref="B37:E37"/>
    <mergeCell ref="B38:E38"/>
    <mergeCell ref="G37:I37"/>
    <mergeCell ref="G38:I38"/>
    <mergeCell ref="N37:O37"/>
    <mergeCell ref="N38:O38"/>
    <mergeCell ref="P37:Q37"/>
    <mergeCell ref="P38:Q38"/>
  </mergeCells>
  <phoneticPr fontId="3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노블코코 해운대</cp:lastModifiedBy>
  <dcterms:created xsi:type="dcterms:W3CDTF">2026-04-17T07:10:56Z</dcterms:created>
  <dcterms:modified xsi:type="dcterms:W3CDTF">2026-04-17T07:27:18Z</dcterms:modified>
</cp:coreProperties>
</file>