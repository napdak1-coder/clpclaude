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pda\OneDrive\문서\네이트온 받은 파일\"/>
    </mc:Choice>
  </mc:AlternateContent>
  <xr:revisionPtr revIDLastSave="0" documentId="13_ncr:1_{277DC777-BF35-4C84-A1F9-08AD3EF0B9BC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4" i="1" l="1"/>
  <c r="U54" i="1"/>
  <c r="T54" i="1"/>
</calcChain>
</file>

<file path=xl/sharedStrings.xml><?xml version="1.0" encoding="utf-8"?>
<sst xmlns="http://schemas.openxmlformats.org/spreadsheetml/2006/main" count="419" uniqueCount="216">
  <si>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</si>
  <si>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</si>
  <si>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</si>
  <si>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</si>
  <si>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</si>
  <si>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</si>
  <si>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</si>
  <si>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</si>
  <si>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FBSIN260497</t>
  </si>
  <si>
    <t>FBSIN260501</t>
  </si>
  <si>
    <t>FBSIN260512</t>
  </si>
  <si>
    <t>FBSIN260513</t>
  </si>
  <si>
    <t>FBSIN260517</t>
  </si>
  <si>
    <t>FBSIN260532</t>
  </si>
  <si>
    <t>FBSIN260534</t>
  </si>
  <si>
    <t>FBSIN260541</t>
  </si>
  <si>
    <t>FBSIN260543</t>
  </si>
  <si>
    <t>FBSIN260544</t>
  </si>
  <si>
    <t>FBSIN260545</t>
  </si>
  <si>
    <t>FBSIN260547</t>
  </si>
  <si>
    <t>FBSIN260548</t>
  </si>
  <si>
    <t>FBSIN260550</t>
  </si>
  <si>
    <t>FBSIN260561</t>
  </si>
  <si>
    <t>FBSIN260562</t>
  </si>
  <si>
    <t>페어콘라인㈜</t>
  </si>
  <si>
    <t>서울특별시 중구 을지로 16(을지로 1가, 백남빌딩 11층)</t>
  </si>
  <si>
    <t>ABSG2600018-1</t>
  </si>
  <si>
    <t>SINOKOR MERCHANT MARINE CO., LTD.</t>
  </si>
  <si>
    <t>BELAWAN  / 2605S</t>
  </si>
  <si>
    <t>페어허브물류 주식회사</t>
  </si>
  <si>
    <t>DEST</t>
  </si>
  <si>
    <t>KUCHING, MALAYSIA</t>
  </si>
  <si>
    <t>BUENOS AIRE</t>
  </si>
  <si>
    <t>KOLKATA (EX CALCUTTA), INDIA</t>
  </si>
  <si>
    <t>Booking No</t>
  </si>
  <si>
    <t xml:space="preserve">P.O.D : </t>
  </si>
  <si>
    <t>SINGAPORE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</si>
  <si>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</si>
  <si>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</si>
  <si>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</si>
  <si>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</si>
  <si>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</si>
  <si>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</si>
  <si>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</si>
  <si>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</si>
  <si>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</si>
  <si>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</si>
  <si>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YKMC</t>
  </si>
  <si>
    <t>솔텍</t>
  </si>
  <si>
    <t>민서코팅</t>
  </si>
  <si>
    <t>아성플라스틱밸브</t>
  </si>
  <si>
    <t>TPG (티피지)</t>
  </si>
  <si>
    <t>더젬코리아</t>
  </si>
  <si>
    <t>베스프코리아</t>
  </si>
  <si>
    <t>카고러쉬</t>
  </si>
  <si>
    <t>나라켐</t>
  </si>
  <si>
    <t>태원니들</t>
  </si>
  <si>
    <t>베베푸드</t>
  </si>
  <si>
    <t>코리얼트레이딩스</t>
  </si>
  <si>
    <t>삼성전자</t>
  </si>
  <si>
    <t>DN 솔루션즈</t>
  </si>
  <si>
    <t>대현 ST</t>
  </si>
  <si>
    <t>KMS</t>
  </si>
  <si>
    <t>40HQ</t>
  </si>
  <si>
    <t>2026-05-14</t>
  </si>
  <si>
    <t>정경일대리님</t>
  </si>
  <si>
    <t xml:space="preserve">화주 </t>
  </si>
  <si>
    <t xml:space="preserve">FCA N/퀴네 / </t>
  </si>
  <si>
    <t xml:space="preserve">N/솔텍 / </t>
  </si>
  <si>
    <t xml:space="preserve">제이월드 / </t>
  </si>
  <si>
    <t xml:space="preserve">태웅 / </t>
  </si>
  <si>
    <t xml:space="preserve">KGL / </t>
  </si>
  <si>
    <t xml:space="preserve">N/베스프코리아 / </t>
  </si>
  <si>
    <t xml:space="preserve">카고러쉬  / </t>
  </si>
  <si>
    <t xml:space="preserve">N/나라켐 / </t>
  </si>
  <si>
    <t xml:space="preserve">N/현대 L&amp;C 김지현 / </t>
  </si>
  <si>
    <t xml:space="preserve">EXW N/베베푸드 / </t>
  </si>
  <si>
    <t xml:space="preserve">티엘로스해운항공  / </t>
  </si>
  <si>
    <t xml:space="preserve">우진글로벌 / </t>
  </si>
  <si>
    <t xml:space="preserve">N/에스에이로지스  / </t>
  </si>
  <si>
    <t xml:space="preserve">N/AWOT  / </t>
  </si>
  <si>
    <t xml:space="preserve">신조로지텍 주식회사 / </t>
  </si>
  <si>
    <t xml:space="preserve">우진글로벌  / </t>
  </si>
  <si>
    <t>2026-05-22</t>
  </si>
  <si>
    <t>Q'TY</t>
  </si>
  <si>
    <t>CR</t>
  </si>
  <si>
    <t>PL</t>
  </si>
  <si>
    <t>CT</t>
  </si>
  <si>
    <t>PK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</si>
  <si>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</si>
  <si>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</si>
  <si>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</si>
  <si>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</si>
  <si>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</si>
  <si>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</si>
  <si>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</si>
  <si>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</si>
  <si>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SNKO010260409150</t>
  </si>
  <si>
    <t>SKHU6425182 / 486373</t>
  </si>
  <si>
    <t>동원글로벌터미널부산(주) (03077135)</t>
  </si>
  <si>
    <t>접안:2026-05-13 10:00</t>
  </si>
  <si>
    <t>ABOUT</t>
  </si>
  <si>
    <t>:</t>
  </si>
  <si>
    <t>02-772-2602</t>
  </si>
  <si>
    <t>REMARK</t>
  </si>
  <si>
    <t>*이단금지/  118x114x59(8) / 써차지100불파트너청구</t>
  </si>
  <si>
    <t>111x111x74(1)</t>
  </si>
  <si>
    <t>111x111x176(1)</t>
  </si>
  <si>
    <t>110x110x150(1) , 110x110x163(1) , 110x110x182(1)</t>
  </si>
  <si>
    <t>114x114x56(1)</t>
  </si>
  <si>
    <t>427*28*32, 120*18*18/장축써차지100불화주청구</t>
  </si>
  <si>
    <t>VGM :                   KGS</t>
  </si>
  <si>
    <t>2026-05-13</t>
  </si>
  <si>
    <t>1/1</t>
  </si>
  <si>
    <t>114*118*59 YMCA</t>
    <phoneticPr fontId="32" type="noConversion"/>
  </si>
  <si>
    <t>114*118*59 YMCA</t>
    <phoneticPr fontId="32" type="noConversion"/>
  </si>
  <si>
    <t>114*118*59 YMCA</t>
    <phoneticPr fontId="32" type="noConversion"/>
  </si>
  <si>
    <t>102x102x70(1) , 104x76x80(1) , 131x95x192(1) , 155x54x75(1) , 157x77x142(1)</t>
    <phoneticPr fontId="32" type="noConversion"/>
  </si>
  <si>
    <t>111x111x196(3)</t>
    <phoneticPr fontId="32" type="noConversion"/>
  </si>
  <si>
    <t>111*111*196 TPG</t>
    <phoneticPr fontId="32" type="noConversion"/>
  </si>
  <si>
    <t>*상단/ 110x110x67(1)</t>
    <phoneticPr fontId="32" type="noConversion"/>
  </si>
  <si>
    <t>110x110x89(1) , 110x110x105(1) , 110x110x112(1)</t>
    <phoneticPr fontId="32" type="noConversion"/>
  </si>
  <si>
    <t>111x111x107(1) , 111x111x141(4) / 운송료30만원화주청구</t>
    <phoneticPr fontId="32" type="noConversion"/>
  </si>
  <si>
    <t>131x111x101(1)</t>
    <phoneticPr fontId="32" type="noConversion"/>
  </si>
  <si>
    <t>114x99x128(1)</t>
    <phoneticPr fontId="32" type="noConversion"/>
  </si>
  <si>
    <t>삼성전자</t>
    <phoneticPr fontId="32" type="noConversion"/>
  </si>
  <si>
    <t>110x110x79(1) , 110x110x99(1)</t>
    <phoneticPr fontId="32" type="noConversion"/>
  </si>
  <si>
    <t>FBSIN260561</t>
    <phoneticPr fontId="32" type="noConversion"/>
  </si>
  <si>
    <r>
      <rPr>
        <sz val="8"/>
        <color rgb="FF000000"/>
        <rFont val="돋움"/>
        <family val="3"/>
        <charset val="129"/>
      </rPr>
      <t>개당</t>
    </r>
    <r>
      <rPr>
        <sz val="8"/>
        <color rgb="FF000000"/>
        <rFont val="Calibri"/>
        <family val="2"/>
      </rPr>
      <t xml:space="preserve"> 100KG</t>
    </r>
    <r>
      <rPr>
        <sz val="8"/>
        <color rgb="FF000000"/>
        <rFont val="돋움"/>
        <family val="3"/>
        <charset val="129"/>
      </rPr>
      <t>도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안되는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가벼운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긴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파이프임</t>
    </r>
    <r>
      <rPr>
        <sz val="8"/>
        <color rgb="FF000000"/>
        <rFont val="Calibri"/>
        <family val="2"/>
      </rPr>
      <t xml:space="preserve"> (100KG </t>
    </r>
    <r>
      <rPr>
        <sz val="8"/>
        <color rgb="FF000000"/>
        <rFont val="돋움"/>
        <family val="3"/>
        <charset val="129"/>
      </rPr>
      <t>기준으로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잡기</t>
    </r>
    <r>
      <rPr>
        <sz val="8"/>
        <color rgb="FF000000"/>
        <rFont val="Calibri"/>
        <family val="2"/>
      </rPr>
      <t xml:space="preserve">)
</t>
    </r>
    <r>
      <rPr>
        <sz val="8"/>
        <color rgb="FF000000"/>
        <rFont val="돋움"/>
        <family val="3"/>
        <charset val="129"/>
      </rPr>
      <t>높이도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낮아서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팔렛이단으로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쌓은곳에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위에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껴놓으면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돼서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그림에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안적음</t>
    </r>
    <phoneticPr fontId="32" type="noConversion"/>
  </si>
  <si>
    <t>168*52*48 KMS</t>
    <phoneticPr fontId="32" type="noConversion"/>
  </si>
  <si>
    <t>1
1
9
9
/
1
2
0
0</t>
    <phoneticPr fontId="32" type="noConversion"/>
  </si>
  <si>
    <t>58*51*59, 168*52*48, 126*115*144</t>
    <phoneticPr fontId="32" type="noConversion"/>
  </si>
  <si>
    <t>117x111x103(2) , 117x117x103(1)</t>
    <phoneticPr fontId="32" type="noConversion"/>
  </si>
  <si>
    <r>
      <t>crate=</t>
    </r>
    <r>
      <rPr>
        <sz val="8"/>
        <color rgb="FF000000"/>
        <rFont val="돋움"/>
        <family val="3"/>
        <charset val="129"/>
      </rPr>
      <t>단단한나무박스라서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플라스틱팔렛과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달리</t>
    </r>
    <r>
      <rPr>
        <sz val="8"/>
        <color rgb="FF000000"/>
        <rFont val="Calibri"/>
        <family val="2"/>
      </rPr>
      <t xml:space="preserve"> 3</t>
    </r>
    <r>
      <rPr>
        <sz val="8"/>
        <color rgb="FF000000"/>
        <rFont val="돋움"/>
        <family val="3"/>
        <charset val="129"/>
      </rPr>
      <t>단으로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많이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쌓음
이단금지로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요청했지만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현실상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불가하여</t>
    </r>
    <r>
      <rPr>
        <sz val="8"/>
        <color rgb="FF000000"/>
        <rFont val="Calibri"/>
        <family val="2"/>
      </rPr>
      <t xml:space="preserve"> 3</t>
    </r>
    <r>
      <rPr>
        <sz val="8"/>
        <color rgb="FF000000"/>
        <rFont val="돋움"/>
        <family val="3"/>
        <charset val="129"/>
      </rPr>
      <t>단으로</t>
    </r>
    <r>
      <rPr>
        <sz val="8"/>
        <color rgb="FF000000"/>
        <rFont val="Calibri"/>
        <family val="2"/>
      </rPr>
      <t xml:space="preserve"> </t>
    </r>
    <r>
      <rPr>
        <sz val="8"/>
        <color rgb="FF000000"/>
        <rFont val="돋움"/>
        <family val="3"/>
        <charset val="129"/>
      </rPr>
      <t>쌓음</t>
    </r>
    <phoneticPr fontId="32" type="noConversion"/>
  </si>
  <si>
    <r>
      <t xml:space="preserve">TOTAL 100CBM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45CBM </t>
    </r>
    <r>
      <rPr>
        <sz val="11"/>
        <color rgb="FF000000"/>
        <rFont val="돋움"/>
        <family val="3"/>
        <charset val="129"/>
      </rPr>
      <t>입고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짬</t>
    </r>
    <phoneticPr fontId="32" type="noConversion"/>
  </si>
  <si>
    <t xml:space="preserve"> 126*115*144 KMS</t>
    <phoneticPr fontId="32" type="noConversion"/>
  </si>
  <si>
    <t>111*111*196 TPG</t>
    <phoneticPr fontId="32" type="noConversion"/>
  </si>
  <si>
    <r>
      <t xml:space="preserve">110*110*182 </t>
    </r>
    <r>
      <rPr>
        <sz val="10"/>
        <color rgb="FF000000"/>
        <rFont val="돋움"/>
        <family val="3"/>
        <charset val="129"/>
      </rPr>
      <t>베베푸드</t>
    </r>
    <phoneticPr fontId="32" type="noConversion"/>
  </si>
  <si>
    <r>
      <t xml:space="preserve">110x110x105 </t>
    </r>
    <r>
      <rPr>
        <sz val="10"/>
        <color rgb="FF000000"/>
        <rFont val="돋움"/>
        <family val="3"/>
        <charset val="129"/>
      </rPr>
      <t>나라켐</t>
    </r>
    <phoneticPr fontId="32" type="noConversion"/>
  </si>
  <si>
    <r>
      <t xml:space="preserve"> 111x111x141</t>
    </r>
    <r>
      <rPr>
        <sz val="10"/>
        <color rgb="FF000000"/>
        <rFont val="돋움"/>
        <family val="3"/>
        <charset val="129"/>
      </rPr>
      <t>베스프</t>
    </r>
    <phoneticPr fontId="32" type="noConversion"/>
  </si>
  <si>
    <t>111*111*196 TPG</t>
    <phoneticPr fontId="32" type="noConversion"/>
  </si>
  <si>
    <r>
      <t xml:space="preserve">110x110x67 </t>
    </r>
    <r>
      <rPr>
        <sz val="10"/>
        <color rgb="FF000000"/>
        <rFont val="돋움"/>
        <family val="3"/>
        <charset val="129"/>
      </rPr>
      <t>아성플</t>
    </r>
    <phoneticPr fontId="32" type="noConversion"/>
  </si>
  <si>
    <r>
      <t xml:space="preserve">111*111*74 </t>
    </r>
    <r>
      <rPr>
        <sz val="10"/>
        <color rgb="FF000000"/>
        <rFont val="돋움"/>
        <family val="3"/>
        <charset val="129"/>
      </rPr>
      <t>민서코팅</t>
    </r>
    <phoneticPr fontId="32" type="noConversion"/>
  </si>
  <si>
    <r>
      <t xml:space="preserve">111*111*176 </t>
    </r>
    <r>
      <rPr>
        <sz val="10"/>
        <color rgb="FF000000"/>
        <rFont val="돋움"/>
        <family val="3"/>
        <charset val="129"/>
      </rPr>
      <t>더젬</t>
    </r>
    <phoneticPr fontId="32" type="noConversion"/>
  </si>
  <si>
    <r>
      <t xml:space="preserve">110*110*150 </t>
    </r>
    <r>
      <rPr>
        <sz val="10"/>
        <color rgb="FF000000"/>
        <rFont val="돋움"/>
        <family val="3"/>
        <charset val="129"/>
      </rPr>
      <t>베베푸드</t>
    </r>
    <phoneticPr fontId="32" type="noConversion"/>
  </si>
  <si>
    <r>
      <t xml:space="preserve">110*110*163 </t>
    </r>
    <r>
      <rPr>
        <sz val="10"/>
        <color rgb="FF000000"/>
        <rFont val="돋움"/>
        <family val="3"/>
        <charset val="129"/>
      </rPr>
      <t>베베푸드</t>
    </r>
    <phoneticPr fontId="32" type="noConversion"/>
  </si>
  <si>
    <r>
      <t xml:space="preserve">110x110x112 </t>
    </r>
    <r>
      <rPr>
        <sz val="10"/>
        <color rgb="FF000000"/>
        <rFont val="돋움"/>
        <family val="3"/>
        <charset val="129"/>
      </rPr>
      <t>나라켐</t>
    </r>
    <phoneticPr fontId="32" type="noConversion"/>
  </si>
  <si>
    <r>
      <t xml:space="preserve">110x110x89 </t>
    </r>
    <r>
      <rPr>
        <sz val="10"/>
        <color rgb="FF000000"/>
        <rFont val="돋움"/>
        <family val="3"/>
        <charset val="129"/>
      </rPr>
      <t>나라켐</t>
    </r>
    <phoneticPr fontId="32" type="noConversion"/>
  </si>
  <si>
    <r>
      <t>102x102x70</t>
    </r>
    <r>
      <rPr>
        <sz val="10"/>
        <color rgb="FF000000"/>
        <rFont val="돋움"/>
        <family val="3"/>
        <charset val="129"/>
      </rPr>
      <t>카고러쉬</t>
    </r>
    <phoneticPr fontId="32" type="noConversion"/>
  </si>
  <si>
    <r>
      <t xml:space="preserve"> 111x111x141</t>
    </r>
    <r>
      <rPr>
        <sz val="10"/>
        <color rgb="FF000000"/>
        <rFont val="돋움"/>
        <family val="3"/>
        <charset val="129"/>
      </rPr>
      <t>베스프</t>
    </r>
    <phoneticPr fontId="32" type="noConversion"/>
  </si>
  <si>
    <r>
      <t xml:space="preserve">111x111x107 </t>
    </r>
    <r>
      <rPr>
        <sz val="10"/>
        <color rgb="FF000000"/>
        <rFont val="돋움"/>
        <family val="3"/>
        <charset val="129"/>
      </rPr>
      <t>베스프</t>
    </r>
    <phoneticPr fontId="32" type="noConversion"/>
  </si>
  <si>
    <r>
      <t>111*131*101</t>
    </r>
    <r>
      <rPr>
        <sz val="10"/>
        <color rgb="FF000000"/>
        <rFont val="돋움"/>
        <family val="3"/>
        <charset val="129"/>
      </rPr>
      <t>대현</t>
    </r>
    <r>
      <rPr>
        <sz val="10"/>
        <color rgb="FF000000"/>
        <rFont val="Calibri"/>
        <family val="2"/>
      </rPr>
      <t>ST</t>
    </r>
    <phoneticPr fontId="32" type="noConversion"/>
  </si>
  <si>
    <r>
      <t>117*111*103</t>
    </r>
    <r>
      <rPr>
        <sz val="10"/>
        <color rgb="FF000000"/>
        <rFont val="돋움"/>
        <family val="3"/>
        <charset val="129"/>
      </rPr>
      <t>솔텍</t>
    </r>
    <phoneticPr fontId="32" type="noConversion"/>
  </si>
  <si>
    <r>
      <t>114x99x128</t>
    </r>
    <r>
      <rPr>
        <sz val="10"/>
        <color rgb="FF000000"/>
        <rFont val="돋움"/>
        <family val="3"/>
        <charset val="129"/>
      </rPr>
      <t>삼성전자</t>
    </r>
    <phoneticPr fontId="32" type="noConversion"/>
  </si>
  <si>
    <r>
      <t>114*114*45</t>
    </r>
    <r>
      <rPr>
        <sz val="10"/>
        <color rgb="FF000000"/>
        <rFont val="돋움"/>
        <family val="3"/>
        <charset val="129"/>
      </rPr>
      <t>삼성전자</t>
    </r>
    <phoneticPr fontId="32" type="noConversion"/>
  </si>
  <si>
    <r>
      <t>54*155*75</t>
    </r>
    <r>
      <rPr>
        <sz val="10"/>
        <color rgb="FF000000"/>
        <rFont val="돋움"/>
        <family val="3"/>
        <charset val="129"/>
      </rPr>
      <t>카고러쉬</t>
    </r>
    <phoneticPr fontId="32" type="noConversion"/>
  </si>
  <si>
    <r>
      <t>110x110x79</t>
    </r>
    <r>
      <rPr>
        <sz val="10"/>
        <color rgb="FF000000"/>
        <rFont val="돋움"/>
        <family val="3"/>
        <charset val="129"/>
      </rPr>
      <t>코리얼</t>
    </r>
    <phoneticPr fontId="32" type="noConversion"/>
  </si>
  <si>
    <r>
      <t>110x110x99</t>
    </r>
    <r>
      <rPr>
        <sz val="10"/>
        <color rgb="FF000000"/>
        <rFont val="돋움"/>
        <family val="3"/>
        <charset val="129"/>
      </rPr>
      <t>코리얼</t>
    </r>
    <phoneticPr fontId="32" type="noConversion"/>
  </si>
  <si>
    <r>
      <t>117x117x103</t>
    </r>
    <r>
      <rPr>
        <sz val="10"/>
        <color rgb="FF000000"/>
        <rFont val="돋움"/>
        <family val="3"/>
        <charset val="129"/>
      </rPr>
      <t>솔텍</t>
    </r>
    <phoneticPr fontId="32" type="noConversion"/>
  </si>
  <si>
    <r>
      <t>104x76x80</t>
    </r>
    <r>
      <rPr>
        <sz val="10"/>
        <color rgb="FF000000"/>
        <rFont val="돋움"/>
        <family val="3"/>
        <charset val="129"/>
      </rPr>
      <t>카고러쉬</t>
    </r>
    <phoneticPr fontId="32" type="noConversion"/>
  </si>
  <si>
    <r>
      <rPr>
        <sz val="10"/>
        <color rgb="FF000000"/>
        <rFont val="돋움"/>
        <family val="3"/>
        <charset val="129"/>
      </rPr>
      <t>카톤</t>
    </r>
    <r>
      <rPr>
        <sz val="10"/>
        <color rgb="FF000000"/>
        <rFont val="Calibri"/>
        <family val="2"/>
      </rPr>
      <t>(</t>
    </r>
    <r>
      <rPr>
        <sz val="10"/>
        <color rgb="FF000000"/>
        <rFont val="돋움"/>
        <family val="3"/>
        <charset val="129"/>
      </rPr>
      <t>태원니들</t>
    </r>
    <r>
      <rPr>
        <sz val="10"/>
        <color rgb="FF000000"/>
        <rFont val="Calibri"/>
        <family val="2"/>
      </rPr>
      <t>,KMS)</t>
    </r>
    <phoneticPr fontId="32" type="noConversion"/>
  </si>
  <si>
    <t xml:space="preserve">N/에프디씨바이오 / </t>
  </si>
  <si>
    <t>에프디씨바이오</t>
  </si>
  <si>
    <t>FBSIN260540</t>
  </si>
  <si>
    <t>*작업사진많이*  136x136x72(1) , 166x166x83(1) / 중량써차지100불파트너청구</t>
    <phoneticPr fontId="32" type="noConversion"/>
  </si>
  <si>
    <t>BX</t>
  </si>
  <si>
    <t xml:space="preserve">N/제이에스 / </t>
  </si>
  <si>
    <t>KJF</t>
  </si>
  <si>
    <t>FBSIN260539</t>
  </si>
  <si>
    <t>팔렛작업료55/PL파트너청구  110x110x172(2)</t>
  </si>
  <si>
    <t xml:space="preserve">N/네원로지스틱스 / </t>
  </si>
  <si>
    <t>아이마니</t>
  </si>
  <si>
    <t>FBSIN260536</t>
  </si>
  <si>
    <t>120x100x126(2)  / DAP 진행</t>
    <phoneticPr fontId="32" type="noConversion"/>
  </si>
  <si>
    <t xml:space="preserve">씨제이부산/찬의  / </t>
  </si>
  <si>
    <t>덕산하이메탈</t>
  </si>
  <si>
    <t>FBSIN260533</t>
  </si>
  <si>
    <t>MALTA (VALLETTA)</t>
  </si>
  <si>
    <t>166*81*107</t>
  </si>
  <si>
    <t xml:space="preserve">N/스타콩 이소정 / </t>
  </si>
  <si>
    <t>서울통신이앤지</t>
  </si>
  <si>
    <t>FBSIN260516</t>
  </si>
  <si>
    <t>DUBAI</t>
  </si>
  <si>
    <t>FBSIN260525</t>
  </si>
  <si>
    <t>114*114*56</t>
    <phoneticPr fontId="32" type="noConversion"/>
  </si>
  <si>
    <t>세원</t>
  </si>
  <si>
    <t>122*105*146, 122*105*120</t>
  </si>
  <si>
    <t>하이브코리아</t>
  </si>
  <si>
    <r>
      <t>1</t>
    </r>
    <r>
      <rPr>
        <sz val="7"/>
        <color rgb="FF000000"/>
        <rFont val="맑은 고딕"/>
        <family val="3"/>
        <charset val="129"/>
      </rPr>
      <t>00*100*60</t>
    </r>
    <phoneticPr fontId="32" type="noConversion"/>
  </si>
  <si>
    <t>JPTPUS26040003(T/S)</t>
    <phoneticPr fontId="32" type="noConversion"/>
  </si>
  <si>
    <t>123*102*89</t>
  </si>
  <si>
    <t>세웅플랜트</t>
  </si>
  <si>
    <t>110*110*145</t>
  </si>
  <si>
    <t>JWE HOSE</t>
  </si>
  <si>
    <t>*다단금지*/ 311*99*109, 60*80*62 / 써차지 100불 파트너 청구</t>
  </si>
  <si>
    <t>WB</t>
  </si>
  <si>
    <t>DGI</t>
  </si>
  <si>
    <t>141*111*95, 123*101*91</t>
    <phoneticPr fontId="32" type="noConversion"/>
  </si>
  <si>
    <t>110*110*60</t>
  </si>
  <si>
    <t>SHIMIZU **TS**</t>
  </si>
  <si>
    <t>100*100*109</t>
    <phoneticPr fontId="32" type="noConversion"/>
  </si>
  <si>
    <t>MOJI **TS**</t>
  </si>
  <si>
    <t>160*123*144</t>
  </si>
  <si>
    <t>CS</t>
  </si>
  <si>
    <t>YOKOHAMA **TS**</t>
    <phoneticPr fontId="32" type="noConversion"/>
  </si>
  <si>
    <t>110x110x80(2)</t>
    <phoneticPr fontId="32" type="noConversion"/>
  </si>
  <si>
    <t>한도신소재</t>
  </si>
  <si>
    <t>FBSIN260506</t>
  </si>
  <si>
    <t>116x115x33(10)</t>
    <phoneticPr fontId="32" type="noConversion"/>
  </si>
  <si>
    <t>FBSIN260496</t>
  </si>
  <si>
    <t>110x110x167(1) , 110x110x170(1)</t>
    <phoneticPr fontId="32" type="noConversion"/>
  </si>
  <si>
    <t xml:space="preserve">N/모리슨 / </t>
  </si>
  <si>
    <t>낙천</t>
  </si>
  <si>
    <t>FBSIN260481</t>
  </si>
  <si>
    <t>*상단적재*  110x110x83(2) , 110x110x94(1)</t>
    <phoneticPr fontId="32" type="noConversion"/>
  </si>
  <si>
    <t>유앤아이원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</si>
</sst>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rgb="FF000000"/>
      <name val="Calibri"/>
    </font>
    <font>
      <sz val="9.75"/>
      <color rgb="FF000000"/>
      <name val="Times New Roman"/>
      <family val="1"/>
    </font>
    <font>
      <sz val="9.75"/>
      <color rgb="FF008B8B"/>
      <name val="Times New Roman"/>
      <family val="1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  <font>
      <sz val="8"/>
      <color rgb="FF000000"/>
      <name val="Calibri"/>
      <family val="2"/>
    </font>
    <font>
      <sz val="8"/>
      <color rgb="FF000000"/>
      <name val="돋움"/>
      <family val="3"/>
      <charset val="129"/>
    </font>
    <font>
      <sz val="10"/>
      <color rgb="FF000000"/>
      <name val="Calibri"/>
      <family val="2"/>
    </font>
    <font>
      <sz val="10"/>
      <color rgb="FF000000"/>
      <name val="돋움"/>
      <family val="3"/>
      <charset val="129"/>
    </font>
    <font>
      <sz val="7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5" fillId="16" borderId="16" xfId="0" applyFont="1" applyFill="1" applyBorder="1" applyAlignment="1">
      <alignment horizontal="center" vertical="center" wrapText="1"/>
    </xf>
    <xf numFmtId="49" fontId="16" fillId="17" borderId="17" xfId="0" applyNumberFormat="1" applyFont="1" applyFill="1" applyBorder="1" applyAlignment="1">
      <alignment horizontal="center" vertical="center" wrapText="1"/>
    </xf>
    <xf numFmtId="0" fontId="17" fillId="18" borderId="18" xfId="0" applyFont="1" applyFill="1" applyBorder="1" applyAlignment="1">
      <alignment horizontal="right" vertical="center" wrapText="1"/>
    </xf>
    <xf numFmtId="0" fontId="18" fillId="19" borderId="19" xfId="0" applyFont="1" applyFill="1" applyBorder="1" applyAlignment="1">
      <alignment horizontal="center" vertical="center" wrapText="1"/>
    </xf>
    <xf numFmtId="0" fontId="19" fillId="20" borderId="20" xfId="0" applyFont="1" applyFill="1" applyBorder="1" applyAlignment="1">
      <alignment horizontal="center" vertical="center" wrapText="1"/>
    </xf>
    <xf numFmtId="49" fontId="21" fillId="22" borderId="22" xfId="0" applyNumberFormat="1" applyFont="1" applyFill="1" applyBorder="1" applyAlignment="1">
      <alignment horizontal="center" vertical="center" wrapText="1"/>
    </xf>
    <xf numFmtId="3" fontId="24" fillId="25" borderId="25" xfId="0" applyNumberFormat="1" applyFont="1" applyFill="1" applyBorder="1" applyAlignment="1">
      <alignment horizontal="right" vertical="center" wrapText="1"/>
    </xf>
    <xf numFmtId="4" fontId="26" fillId="27" borderId="27" xfId="0" applyNumberFormat="1" applyFont="1" applyFill="1" applyBorder="1" applyAlignment="1">
      <alignment horizontal="right" vertical="center" wrapText="1"/>
    </xf>
    <xf numFmtId="0" fontId="0" fillId="0" borderId="35" xfId="0" applyBorder="1">
      <alignment vertical="center"/>
    </xf>
    <xf numFmtId="0" fontId="35" fillId="0" borderId="34" xfId="0" applyFont="1" applyBorder="1" applyAlignment="1">
      <alignment horizontal="center" vertical="center" wrapText="1"/>
    </xf>
    <xf numFmtId="0" fontId="0" fillId="0" borderId="34" xfId="0" applyBorder="1">
      <alignment vertical="center"/>
    </xf>
    <xf numFmtId="0" fontId="33" fillId="0" borderId="0" xfId="0" applyFont="1">
      <alignment vertical="center"/>
    </xf>
    <xf numFmtId="0" fontId="37" fillId="0" borderId="36" xfId="0" applyFont="1" applyBorder="1" applyAlignment="1">
      <alignment horizontal="center" vertical="center"/>
    </xf>
    <xf numFmtId="0" fontId="37" fillId="0" borderId="38" xfId="0" applyFont="1" applyBorder="1" applyAlignment="1">
      <alignment horizontal="center" vertical="center"/>
    </xf>
    <xf numFmtId="0" fontId="35" fillId="0" borderId="42" xfId="0" applyFont="1" applyBorder="1" applyAlignment="1">
      <alignment horizontal="left" vertical="center" wrapText="1"/>
    </xf>
    <xf numFmtId="0" fontId="35" fillId="0" borderId="34" xfId="0" applyFont="1" applyBorder="1" applyAlignment="1">
      <alignment horizontal="left" vertical="center" wrapText="1"/>
    </xf>
    <xf numFmtId="0" fontId="37" fillId="33" borderId="36" xfId="0" applyFont="1" applyFill="1" applyBorder="1" applyAlignment="1">
      <alignment horizontal="center" vertical="center"/>
    </xf>
    <xf numFmtId="0" fontId="37" fillId="33" borderId="38" xfId="0" applyFont="1" applyFill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49" fontId="39" fillId="33" borderId="31" xfId="0" applyNumberFormat="1" applyFont="1" applyFill="1" applyBorder="1" applyAlignment="1">
      <alignment horizontal="left" vertical="center" wrapText="1"/>
    </xf>
    <xf numFmtId="0" fontId="39" fillId="33" borderId="32" xfId="0" applyFont="1" applyFill="1" applyBorder="1" applyAlignment="1">
      <alignment horizontal="left" vertical="center" wrapText="1"/>
    </xf>
    <xf numFmtId="49" fontId="19" fillId="33" borderId="31" xfId="0" applyNumberFormat="1" applyFont="1" applyFill="1" applyBorder="1" applyAlignment="1">
      <alignment horizontal="left" vertical="center" wrapText="1"/>
    </xf>
    <xf numFmtId="49" fontId="30" fillId="33" borderId="31" xfId="0" applyNumberFormat="1" applyFont="1" applyFill="1" applyBorder="1" applyAlignment="1">
      <alignment horizontal="left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4" fontId="26" fillId="27" borderId="27" xfId="0" applyNumberFormat="1" applyFont="1" applyFill="1" applyBorder="1" applyAlignment="1">
      <alignment horizontal="right" vertical="center" wrapText="1"/>
    </xf>
    <xf numFmtId="0" fontId="29" fillId="30" borderId="30" xfId="0" applyFont="1" applyFill="1" applyBorder="1" applyAlignment="1">
      <alignment horizontal="center" vertical="center" wrapText="1"/>
    </xf>
    <xf numFmtId="49" fontId="27" fillId="28" borderId="28" xfId="0" applyNumberFormat="1" applyFont="1" applyFill="1" applyBorder="1" applyAlignment="1">
      <alignment horizontal="left" vertical="center" wrapText="1"/>
    </xf>
    <xf numFmtId="0" fontId="8" fillId="9" borderId="9" xfId="0" applyFont="1" applyFill="1" applyBorder="1" applyAlignment="1">
      <alignment horizontal="center" vertical="center" wrapText="1"/>
    </xf>
    <xf numFmtId="49" fontId="39" fillId="31" borderId="31" xfId="0" applyNumberFormat="1" applyFont="1" applyFill="1" applyBorder="1" applyAlignment="1">
      <alignment horizontal="left" vertical="center" wrapText="1"/>
    </xf>
    <xf numFmtId="0" fontId="28" fillId="29" borderId="29" xfId="0" applyFont="1" applyFill="1" applyBorder="1" applyAlignment="1">
      <alignment horizontal="left" vertical="center" wrapText="1"/>
    </xf>
    <xf numFmtId="49" fontId="12" fillId="13" borderId="13" xfId="0" applyNumberFormat="1" applyFont="1" applyFill="1" applyBorder="1" applyAlignment="1">
      <alignment horizontal="left" vertical="center" wrapText="1"/>
    </xf>
    <xf numFmtId="49" fontId="22" fillId="23" borderId="23" xfId="0" applyNumberFormat="1" applyFont="1" applyFill="1" applyBorder="1" applyAlignment="1">
      <alignment horizontal="center" vertical="center" wrapText="1"/>
    </xf>
    <xf numFmtId="49" fontId="23" fillId="24" borderId="24" xfId="0" applyNumberFormat="1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left" vertical="center" wrapText="1"/>
    </xf>
    <xf numFmtId="0" fontId="25" fillId="26" borderId="26" xfId="0" applyFont="1" applyFill="1" applyBorder="1" applyAlignment="1">
      <alignment horizontal="left" vertical="center" wrapText="1"/>
    </xf>
    <xf numFmtId="0" fontId="20" fillId="21" borderId="21" xfId="0" applyFont="1" applyFill="1" applyBorder="1" applyAlignment="1">
      <alignment horizontal="center" vertical="center" wrapText="1"/>
    </xf>
    <xf numFmtId="49" fontId="7" fillId="10" borderId="10" xfId="0" applyNumberFormat="1" applyFont="1" applyFill="1" applyBorder="1" applyAlignment="1">
      <alignment horizontal="left" vertical="center" wrapText="1"/>
    </xf>
    <xf numFmtId="49" fontId="10" fillId="11" borderId="11" xfId="0" applyNumberFormat="1" applyFont="1" applyFill="1" applyBorder="1" applyAlignment="1">
      <alignment horizontal="left" vertical="center" wrapText="1"/>
    </xf>
    <xf numFmtId="49" fontId="11" fillId="12" borderId="12" xfId="0" applyNumberFormat="1" applyFont="1" applyFill="1" applyBorder="1" applyAlignment="1">
      <alignment horizontal="left" vertical="top" wrapText="1"/>
    </xf>
    <xf numFmtId="49" fontId="13" fillId="14" borderId="14" xfId="0" applyNumberFormat="1" applyFont="1" applyFill="1" applyBorder="1" applyAlignment="1">
      <alignment horizontal="left" vertical="center" wrapText="1"/>
    </xf>
    <xf numFmtId="49" fontId="14" fillId="15" borderId="15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1" fillId="32" borderId="34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4" fillId="32" borderId="23" xfId="0" applyFont="1" applyFill="1" applyBorder="1" applyAlignment="1">
      <alignment horizontal="left" vertical="center" wrapText="1"/>
    </xf>
    <xf numFmtId="0" fontId="4" fillId="32" borderId="43" xfId="0" applyFont="1" applyFill="1" applyBorder="1" applyAlignment="1">
      <alignment horizontal="left" vertical="center" wrapText="1"/>
    </xf>
    <xf numFmtId="0" fontId="4" fillId="32" borderId="44" xfId="0" applyFont="1" applyFill="1" applyBorder="1" applyAlignment="1">
      <alignment horizontal="left" vertical="center" wrapText="1"/>
    </xf>
    <xf numFmtId="4" fontId="7" fillId="32" borderId="23" xfId="0" applyNumberFormat="1" applyFont="1" applyFill="1" applyBorder="1" applyAlignment="1">
      <alignment horizontal="right" vertical="center" wrapText="1"/>
    </xf>
    <xf numFmtId="4" fontId="7" fillId="32" borderId="43" xfId="0" applyNumberFormat="1" applyFont="1" applyFill="1" applyBorder="1" applyAlignment="1">
      <alignment horizontal="right" vertical="center" wrapText="1"/>
    </xf>
    <xf numFmtId="4" fontId="7" fillId="32" borderId="44" xfId="0" applyNumberFormat="1" applyFont="1" applyFill="1" applyBorder="1" applyAlignment="1">
      <alignment horizontal="right" vertical="center" wrapText="1"/>
    </xf>
    <xf numFmtId="4" fontId="7" fillId="32" borderId="33" xfId="0" applyNumberFormat="1" applyFont="1" applyFill="1" applyBorder="1" applyAlignment="1">
      <alignment horizontal="right" vertical="center" wrapText="1"/>
    </xf>
    <xf numFmtId="3" fontId="7" fillId="32" borderId="23" xfId="0" applyNumberFormat="1" applyFont="1" applyFill="1" applyBorder="1" applyAlignment="1">
      <alignment horizontal="right" vertical="center" wrapText="1"/>
    </xf>
    <xf numFmtId="3" fontId="7" fillId="32" borderId="44" xfId="0" applyNumberFormat="1" applyFont="1" applyFill="1" applyBorder="1" applyAlignment="1">
      <alignment horizontal="right" vertical="center" wrapText="1"/>
    </xf>
    <xf numFmtId="0" fontId="4" fillId="21" borderId="23" xfId="0" applyFont="1" applyFill="1" applyBorder="1" applyAlignment="1">
      <alignment horizontal="center" vertical="center" wrapText="1"/>
    </xf>
    <xf numFmtId="0" fontId="4" fillId="21" borderId="43" xfId="0" applyFont="1" applyFill="1" applyBorder="1" applyAlignment="1">
      <alignment horizontal="center" vertical="center" wrapText="1"/>
    </xf>
    <xf numFmtId="0" fontId="4" fillId="21" borderId="44" xfId="0" applyFont="1" applyFill="1" applyBorder="1" applyAlignment="1">
      <alignment horizontal="center" vertical="center" wrapText="1"/>
    </xf>
    <xf numFmtId="0" fontId="19" fillId="32" borderId="23" xfId="0" applyFont="1" applyFill="1" applyBorder="1" applyAlignment="1">
      <alignment horizontal="left" vertical="center" wrapText="1"/>
    </xf>
    <xf numFmtId="0" fontId="19" fillId="32" borderId="43" xfId="0" applyFont="1" applyFill="1" applyBorder="1" applyAlignment="1">
      <alignment horizontal="left" vertical="center" wrapText="1"/>
    </xf>
    <xf numFmtId="0" fontId="19" fillId="32" borderId="44" xfId="0" applyFont="1" applyFill="1" applyBorder="1" applyAlignment="1">
      <alignment horizontal="left" vertical="center" wrapText="1"/>
    </xf>
    <xf numFmtId="49" fontId="7" fillId="32" borderId="33" xfId="0" applyNumberFormat="1" applyFont="1" applyFill="1" applyBorder="1" applyAlignment="1">
      <alignment horizontal="center" vertical="center" wrapText="1"/>
    </xf>
    <xf numFmtId="3" fontId="7" fillId="32" borderId="33" xfId="0" applyNumberFormat="1" applyFont="1" applyFill="1" applyBorder="1" applyAlignment="1">
      <alignment horizontal="right" vertical="center" wrapText="1"/>
    </xf>
    <xf numFmtId="49" fontId="7" fillId="32" borderId="23" xfId="0" applyNumberFormat="1" applyFont="1" applyFill="1" applyBorder="1" applyAlignment="1">
      <alignment horizontal="left" vertical="center" wrapText="1"/>
    </xf>
    <xf numFmtId="49" fontId="7" fillId="32" borderId="44" xfId="0" applyNumberFormat="1" applyFont="1" applyFill="1" applyBorder="1" applyAlignment="1">
      <alignment horizontal="left" vertical="center" wrapText="1"/>
    </xf>
    <xf numFmtId="49" fontId="19" fillId="32" borderId="33" xfId="0" applyNumberFormat="1" applyFont="1" applyFill="1" applyBorder="1" applyAlignment="1">
      <alignment horizontal="center" vertical="center" wrapText="1"/>
    </xf>
    <xf numFmtId="0" fontId="19" fillId="32" borderId="33" xfId="0" applyFont="1" applyFill="1" applyBorder="1" applyAlignment="1">
      <alignment horizontal="center" vertical="center" wrapText="1"/>
    </xf>
    <xf numFmtId="49" fontId="7" fillId="32" borderId="43" xfId="0" applyNumberFormat="1" applyFont="1" applyFill="1" applyBorder="1" applyAlignment="1">
      <alignment horizontal="left" vertical="center" wrapText="1"/>
    </xf>
    <xf numFmtId="0" fontId="7" fillId="32" borderId="33" xfId="0" applyFont="1" applyFill="1" applyBorder="1" applyAlignment="1">
      <alignment horizontal="center" vertical="center" wrapText="1"/>
    </xf>
    <xf numFmtId="3" fontId="7" fillId="32" borderId="8" xfId="0" applyNumberFormat="1" applyFont="1" applyFill="1" applyBorder="1" applyAlignment="1">
      <alignment horizontal="center" vertical="center" wrapText="1"/>
    </xf>
    <xf numFmtId="49" fontId="19" fillId="33" borderId="23" xfId="0" applyNumberFormat="1" applyFont="1" applyFill="1" applyBorder="1" applyAlignment="1">
      <alignment horizontal="left" vertical="center" wrapText="1"/>
    </xf>
    <xf numFmtId="49" fontId="19" fillId="33" borderId="43" xfId="0" applyNumberFormat="1" applyFont="1" applyFill="1" applyBorder="1" applyAlignment="1">
      <alignment horizontal="left" vertical="center" wrapText="1"/>
    </xf>
    <xf numFmtId="49" fontId="19" fillId="33" borderId="44" xfId="0" applyNumberFormat="1" applyFont="1" applyFill="1" applyBorder="1" applyAlignment="1">
      <alignment horizontal="left" vertical="center" wrapText="1"/>
    </xf>
    <xf numFmtId="49" fontId="19" fillId="34" borderId="23" xfId="0" applyNumberFormat="1" applyFont="1" applyFill="1" applyBorder="1" applyAlignment="1">
      <alignment horizontal="left" vertical="center" wrapText="1"/>
    </xf>
    <xf numFmtId="49" fontId="19" fillId="34" borderId="43" xfId="0" applyNumberFormat="1" applyFont="1" applyFill="1" applyBorder="1" applyAlignment="1">
      <alignment horizontal="left" vertical="center" wrapText="1"/>
    </xf>
    <xf numFmtId="49" fontId="19" fillId="34" borderId="44" xfId="0" applyNumberFormat="1" applyFont="1" applyFill="1" applyBorder="1" applyAlignment="1">
      <alignment horizontal="left" vertical="center" wrapText="1"/>
    </xf>
    <xf numFmtId="0" fontId="19" fillId="34" borderId="23" xfId="0" applyFont="1" applyFill="1" applyBorder="1" applyAlignment="1">
      <alignment horizontal="left" vertical="center" wrapText="1"/>
    </xf>
    <xf numFmtId="0" fontId="19" fillId="34" borderId="43" xfId="0" applyFont="1" applyFill="1" applyBorder="1" applyAlignment="1">
      <alignment horizontal="left" vertical="center" wrapText="1"/>
    </xf>
    <xf numFmtId="0" fontId="19" fillId="34" borderId="44" xfId="0" applyFont="1" applyFill="1" applyBorder="1" applyAlignment="1">
      <alignment horizontal="left" vertical="center" wrapText="1"/>
    </xf>
    <xf numFmtId="49" fontId="39" fillId="33" borderId="23" xfId="0" applyNumberFormat="1" applyFont="1" applyFill="1" applyBorder="1" applyAlignment="1">
      <alignment horizontal="left" vertical="center" wrapText="1"/>
    </xf>
    <xf numFmtId="49" fontId="39" fillId="33" borderId="43" xfId="0" applyNumberFormat="1" applyFont="1" applyFill="1" applyBorder="1" applyAlignment="1">
      <alignment horizontal="left" vertical="center" wrapText="1"/>
    </xf>
    <xf numFmtId="49" fontId="39" fillId="33" borderId="44" xfId="0" applyNumberFormat="1" applyFont="1" applyFill="1" applyBorder="1" applyAlignment="1">
      <alignment horizontal="left" vertical="center" wrapText="1"/>
    </xf>
    <xf numFmtId="0" fontId="39" fillId="33" borderId="23" xfId="0" applyFont="1" applyFill="1" applyBorder="1" applyAlignment="1">
      <alignment horizontal="left" vertical="center" wrapText="1"/>
    </xf>
    <xf numFmtId="0" fontId="39" fillId="33" borderId="43" xfId="0" applyFont="1" applyFill="1" applyBorder="1" applyAlignment="1">
      <alignment horizontal="left" vertical="center" wrapText="1"/>
    </xf>
    <xf numFmtId="0" fontId="39" fillId="33" borderId="4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4"/>
  <sheetViews>
    <sheetView showGridLines="0" tabSelected="1" topLeftCell="A17" workbookViewId="0">
      <selection activeCell="AE28" sqref="AE28"/>
    </sheetView>
  </sheetViews>
  <sheetFormatPr defaultRowHeight="14.25" x14ac:dyDescent="0.45"/>
  <cols>
    <col min="1" max="1" width="4.265625" customWidth="1"/>
    <col min="2" max="2" width="3.3984375" customWidth="1"/>
    <col min="3" max="3" width="0.59765625" customWidth="1"/>
    <col min="4" max="4" width="6.59765625" customWidth="1"/>
    <col min="5" max="5" width="7.73046875" customWidth="1"/>
    <col min="6" max="6" width="9" customWidth="1"/>
    <col min="7" max="7" width="3.265625" customWidth="1"/>
    <col min="8" max="8" width="7.59765625" customWidth="1"/>
    <col min="9" max="9" width="3.1328125" customWidth="1"/>
    <col min="10" max="10" width="3.265625" customWidth="1"/>
    <col min="11" max="11" width="3.86328125" customWidth="1"/>
    <col min="12" max="12" width="3" customWidth="1"/>
    <col min="13" max="13" width="2.73046875" customWidth="1"/>
    <col min="14" max="14" width="7.265625" customWidth="1"/>
    <col min="15" max="15" width="8.3984375" customWidth="1"/>
    <col min="16" max="16" width="9.265625" customWidth="1"/>
    <col min="17" max="17" width="6" customWidth="1"/>
    <col min="18" max="18" width="7.1328125" customWidth="1"/>
    <col min="19" max="19" width="4.59765625" customWidth="1"/>
    <col min="20" max="20" width="9.59765625" customWidth="1"/>
    <col min="21" max="21" width="8.86328125" customWidth="1"/>
    <col min="22" max="22" width="5.265625" customWidth="1"/>
    <col min="23" max="23" width="1.265625" customWidth="1"/>
    <col min="24" max="24" width="3.86328125" customWidth="1"/>
    <col min="25" max="25" width="6.3984375" customWidth="1"/>
    <col min="26" max="26" width="8.59765625" customWidth="1"/>
    <col min="27" max="27" width="6.3984375" customWidth="1"/>
    <col min="28" max="29" width="0.73046875" customWidth="1"/>
    <col min="37" max="37" width="3.86328125" customWidth="1"/>
  </cols>
  <sheetData>
    <row r="1" spans="1:30" ht="19.5" customHeight="1" x14ac:dyDescent="0.45"/>
    <row r="2" spans="1:30" ht="15" customHeight="1" x14ac:dyDescent="0.45">
      <c r="A2" s="51"/>
      <c r="B2" s="51"/>
      <c r="D2" s="47" t="s">
        <v>24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36" t="s">
        <v>95</v>
      </c>
      <c r="W2" s="36"/>
      <c r="X2" s="36"/>
      <c r="Y2" s="36"/>
      <c r="Z2" s="36"/>
      <c r="AA2" s="36"/>
      <c r="AB2" s="36"/>
      <c r="AC2" s="36"/>
    </row>
    <row r="3" spans="1:30" ht="1.5" customHeight="1" x14ac:dyDescent="0.45">
      <c r="A3" s="51"/>
      <c r="B3" s="51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39" t="s">
        <v>96</v>
      </c>
      <c r="W3" s="35" t="s">
        <v>102</v>
      </c>
      <c r="X3" s="36" t="s">
        <v>103</v>
      </c>
      <c r="Y3" s="36"/>
      <c r="Z3" s="36"/>
      <c r="AA3" s="36"/>
      <c r="AB3" s="36"/>
      <c r="AC3" s="36"/>
    </row>
    <row r="4" spans="1:30" ht="3" customHeight="1" x14ac:dyDescent="0.45">
      <c r="A4" s="51"/>
      <c r="B4" s="51"/>
      <c r="V4" s="39"/>
      <c r="W4" s="35"/>
      <c r="X4" s="36"/>
      <c r="Y4" s="36"/>
      <c r="Z4" s="36"/>
      <c r="AA4" s="36"/>
      <c r="AB4" s="36"/>
      <c r="AC4" s="36"/>
    </row>
    <row r="5" spans="1:30" ht="11.25" customHeight="1" x14ac:dyDescent="0.45">
      <c r="A5" s="51"/>
      <c r="B5" s="51"/>
      <c r="D5" s="48" t="s">
        <v>25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39"/>
      <c r="W5" s="35"/>
      <c r="X5" s="36"/>
      <c r="Y5" s="36"/>
      <c r="Z5" s="36"/>
      <c r="AA5" s="36"/>
      <c r="AB5" s="36"/>
      <c r="AC5" s="36"/>
    </row>
    <row r="6" spans="1:30" ht="2.25" customHeight="1" x14ac:dyDescent="0.45"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39"/>
      <c r="W6" s="35"/>
      <c r="X6" s="36"/>
      <c r="Y6" s="36"/>
      <c r="Z6" s="36"/>
      <c r="AA6" s="36"/>
      <c r="AB6" s="36"/>
      <c r="AC6" s="36"/>
    </row>
    <row r="7" spans="1:30" ht="1.5" customHeight="1" x14ac:dyDescent="0.45"/>
    <row r="8" spans="1:30" ht="2.25" customHeight="1" x14ac:dyDescent="0.45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 spans="1:30" ht="10.5" customHeight="1" x14ac:dyDescent="0.45">
      <c r="A9" s="53" t="s">
        <v>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 t="s">
        <v>112</v>
      </c>
      <c r="AA9" s="54"/>
      <c r="AB9" s="53"/>
    </row>
    <row r="10" spans="1:30" ht="11.25" customHeight="1" x14ac:dyDescent="0.4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4" t="s">
        <v>113</v>
      </c>
      <c r="AA10" s="53"/>
      <c r="AB10" s="53"/>
    </row>
    <row r="11" spans="1:30" ht="1.5" customHeight="1" x14ac:dyDescent="0.4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 spans="1:30" ht="1.5" customHeight="1" x14ac:dyDescent="0.45"/>
    <row r="13" spans="1:30" ht="18" customHeight="1" x14ac:dyDescent="0.45">
      <c r="A13" s="55" t="s">
        <v>1</v>
      </c>
      <c r="B13" s="55"/>
      <c r="C13" s="55"/>
      <c r="D13" s="55"/>
      <c r="E13" s="40" t="s">
        <v>26</v>
      </c>
      <c r="F13" s="40"/>
      <c r="G13" s="40"/>
      <c r="H13" s="6" t="s">
        <v>35</v>
      </c>
      <c r="I13" s="40" t="s">
        <v>36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4" t="s">
        <v>89</v>
      </c>
      <c r="U13" s="44"/>
      <c r="V13" s="40" t="s">
        <v>97</v>
      </c>
      <c r="W13" s="40"/>
      <c r="X13" s="40"/>
      <c r="Y13" s="40"/>
      <c r="Z13" s="40"/>
      <c r="AA13" s="40"/>
      <c r="AB13" s="40"/>
      <c r="AC13" s="40"/>
    </row>
    <row r="14" spans="1:30" ht="14.25" customHeight="1" x14ac:dyDescent="0.45">
      <c r="A14" s="56" t="s">
        <v>2</v>
      </c>
      <c r="B14" s="56"/>
      <c r="C14" s="56"/>
      <c r="D14" s="56"/>
      <c r="E14" s="49" t="s">
        <v>27</v>
      </c>
      <c r="F14" s="49"/>
      <c r="G14" s="49"/>
      <c r="H14" s="49"/>
      <c r="I14" s="49"/>
      <c r="J14" s="49"/>
      <c r="K14" s="49"/>
      <c r="L14" s="37" t="s">
        <v>40</v>
      </c>
      <c r="M14" s="37"/>
      <c r="N14" s="37"/>
      <c r="O14" s="41" t="s">
        <v>63</v>
      </c>
      <c r="P14" s="41"/>
      <c r="Q14" s="41"/>
      <c r="R14" s="41"/>
      <c r="S14" s="41"/>
      <c r="T14" s="37" t="s">
        <v>90</v>
      </c>
      <c r="U14" s="37"/>
      <c r="V14" s="41" t="s">
        <v>98</v>
      </c>
      <c r="W14" s="41"/>
      <c r="X14" s="41"/>
      <c r="Y14" s="41"/>
      <c r="Z14" s="41"/>
      <c r="AA14" s="41"/>
      <c r="AB14" s="41"/>
      <c r="AC14" s="41"/>
      <c r="AD14" s="15" t="s">
        <v>134</v>
      </c>
    </row>
    <row r="15" spans="1:30" ht="13.5" customHeight="1" x14ac:dyDescent="0.45">
      <c r="A15" s="57" t="s">
        <v>3</v>
      </c>
      <c r="B15" s="57"/>
      <c r="C15" s="57"/>
      <c r="D15" s="57"/>
      <c r="E15" s="50" t="s">
        <v>28</v>
      </c>
      <c r="F15" s="50"/>
      <c r="G15" s="50"/>
      <c r="H15" s="50"/>
      <c r="I15" s="50"/>
      <c r="J15" s="50"/>
      <c r="K15" s="50"/>
      <c r="L15" s="45" t="s">
        <v>41</v>
      </c>
      <c r="M15" s="45"/>
      <c r="N15" s="45"/>
      <c r="O15" s="42" t="s">
        <v>64</v>
      </c>
      <c r="P15" s="42"/>
      <c r="Q15" s="42" t="s">
        <v>83</v>
      </c>
      <c r="R15" s="42"/>
      <c r="S15" s="42"/>
      <c r="T15" s="45" t="s">
        <v>91</v>
      </c>
      <c r="U15" s="45"/>
      <c r="V15" s="42" t="s">
        <v>99</v>
      </c>
      <c r="W15" s="42"/>
      <c r="X15" s="42"/>
      <c r="Y15" s="42"/>
      <c r="Z15" s="42"/>
      <c r="AA15" s="42"/>
      <c r="AB15" s="42"/>
      <c r="AC15" s="42"/>
    </row>
    <row r="16" spans="1:30" ht="14.25" customHeight="1" x14ac:dyDescent="0.45">
      <c r="A16" s="57" t="s">
        <v>4</v>
      </c>
      <c r="B16" s="57"/>
      <c r="C16" s="57"/>
      <c r="D16" s="57"/>
      <c r="E16" s="50" t="s">
        <v>29</v>
      </c>
      <c r="F16" s="50"/>
      <c r="G16" s="50"/>
      <c r="H16" s="50"/>
      <c r="I16" s="50"/>
      <c r="J16" s="50"/>
      <c r="K16" s="50"/>
      <c r="L16" s="45" t="s">
        <v>42</v>
      </c>
      <c r="M16" s="45"/>
      <c r="N16" s="45"/>
      <c r="O16" s="42" t="s">
        <v>65</v>
      </c>
      <c r="P16" s="42"/>
      <c r="Q16" s="42"/>
      <c r="R16" s="42"/>
      <c r="S16" s="42"/>
      <c r="T16" s="45" t="s">
        <v>92</v>
      </c>
      <c r="U16" s="45"/>
      <c r="V16" s="42" t="s">
        <v>100</v>
      </c>
      <c r="W16" s="42"/>
      <c r="X16" s="42"/>
      <c r="Y16" s="42"/>
      <c r="Z16" s="42"/>
      <c r="AA16" s="42"/>
      <c r="AB16" s="42"/>
      <c r="AC16" s="42"/>
    </row>
    <row r="17" spans="1:41" ht="14.25" customHeight="1" x14ac:dyDescent="0.45">
      <c r="A17" s="1" t="s">
        <v>5</v>
      </c>
      <c r="B17" s="37" t="s">
        <v>7</v>
      </c>
      <c r="C17" s="37"/>
      <c r="D17" s="37"/>
      <c r="E17" s="37"/>
      <c r="F17" s="3" t="s">
        <v>30</v>
      </c>
      <c r="G17" s="37" t="s">
        <v>34</v>
      </c>
      <c r="H17" s="37"/>
      <c r="I17" s="37"/>
      <c r="J17" s="7" t="s">
        <v>37</v>
      </c>
      <c r="K17" s="7" t="s">
        <v>38</v>
      </c>
      <c r="L17" s="7" t="s">
        <v>43</v>
      </c>
      <c r="M17" s="7" t="s">
        <v>44</v>
      </c>
      <c r="N17" s="37" t="s">
        <v>46</v>
      </c>
      <c r="O17" s="37"/>
      <c r="P17" s="37" t="s">
        <v>66</v>
      </c>
      <c r="Q17" s="37"/>
      <c r="R17" s="37" t="s">
        <v>84</v>
      </c>
      <c r="S17" s="37"/>
      <c r="T17" s="3" t="s">
        <v>93</v>
      </c>
      <c r="U17" s="3" t="s">
        <v>94</v>
      </c>
      <c r="V17" s="37" t="s">
        <v>101</v>
      </c>
      <c r="W17" s="37"/>
      <c r="X17" s="37"/>
      <c r="Y17" s="37" t="s">
        <v>104</v>
      </c>
      <c r="Z17" s="37"/>
      <c r="AA17" s="37"/>
      <c r="AB17" s="37"/>
      <c r="AC17" s="37"/>
    </row>
    <row r="18" spans="1:41" ht="21" customHeight="1" x14ac:dyDescent="0.45">
      <c r="A18" s="2">
        <v>1</v>
      </c>
      <c r="B18" s="43" t="s">
        <v>8</v>
      </c>
      <c r="C18" s="43"/>
      <c r="D18" s="43"/>
      <c r="E18" s="43"/>
      <c r="F18" s="4"/>
      <c r="G18" s="43" t="s">
        <v>8</v>
      </c>
      <c r="H18" s="43"/>
      <c r="I18" s="43"/>
      <c r="J18" s="8"/>
      <c r="K18" s="8" t="s">
        <v>39</v>
      </c>
      <c r="L18" s="8" t="s">
        <v>39</v>
      </c>
      <c r="M18" s="9" t="s">
        <v>45</v>
      </c>
      <c r="N18" s="43" t="s">
        <v>47</v>
      </c>
      <c r="O18" s="43"/>
      <c r="P18" s="43" t="s">
        <v>67</v>
      </c>
      <c r="Q18" s="43"/>
      <c r="R18" s="10">
        <v>8</v>
      </c>
      <c r="S18" s="5" t="s">
        <v>85</v>
      </c>
      <c r="T18" s="11">
        <v>2872</v>
      </c>
      <c r="U18" s="11">
        <v>6.3490000000000002</v>
      </c>
      <c r="V18" s="34">
        <v>6.3490000000000002</v>
      </c>
      <c r="W18" s="34"/>
      <c r="X18" s="34"/>
      <c r="Y18" s="24" t="s">
        <v>105</v>
      </c>
      <c r="Z18" s="24"/>
      <c r="AA18" s="24"/>
      <c r="AB18" s="24"/>
      <c r="AC18" s="24"/>
      <c r="AD18" s="18" t="s">
        <v>133</v>
      </c>
      <c r="AE18" s="19"/>
      <c r="AF18" s="19"/>
      <c r="AG18" s="19"/>
      <c r="AH18" s="19"/>
      <c r="AI18" s="19"/>
      <c r="AJ18" s="13"/>
      <c r="AK18" s="12"/>
      <c r="AL18" s="31">
        <v>234</v>
      </c>
      <c r="AM18" s="32"/>
      <c r="AN18" s="32"/>
      <c r="AO18" s="33"/>
    </row>
    <row r="19" spans="1:41" ht="14.25" customHeight="1" x14ac:dyDescent="0.45">
      <c r="A19" s="2">
        <v>2</v>
      </c>
      <c r="B19" s="43" t="s">
        <v>9</v>
      </c>
      <c r="C19" s="43"/>
      <c r="D19" s="43"/>
      <c r="E19" s="43"/>
      <c r="F19" s="4"/>
      <c r="G19" s="43" t="s">
        <v>9</v>
      </c>
      <c r="H19" s="43"/>
      <c r="I19" s="43"/>
      <c r="J19" s="8"/>
      <c r="K19" s="8" t="s">
        <v>39</v>
      </c>
      <c r="L19" s="8" t="s">
        <v>39</v>
      </c>
      <c r="M19" s="9" t="s">
        <v>45</v>
      </c>
      <c r="N19" s="43" t="s">
        <v>48</v>
      </c>
      <c r="O19" s="43"/>
      <c r="P19" s="43" t="s">
        <v>68</v>
      </c>
      <c r="Q19" s="43"/>
      <c r="R19" s="10">
        <v>3</v>
      </c>
      <c r="S19" s="5" t="s">
        <v>86</v>
      </c>
      <c r="T19" s="11">
        <v>2200</v>
      </c>
      <c r="U19" s="11">
        <v>4.085</v>
      </c>
      <c r="V19" s="34">
        <v>4.085</v>
      </c>
      <c r="W19" s="34"/>
      <c r="X19" s="34"/>
      <c r="Y19" s="24" t="s">
        <v>132</v>
      </c>
      <c r="Z19" s="24"/>
      <c r="AA19" s="24"/>
      <c r="AB19" s="24"/>
      <c r="AC19" s="24"/>
      <c r="AK19" s="28" t="s">
        <v>130</v>
      </c>
      <c r="AL19" s="20" t="s">
        <v>114</v>
      </c>
      <c r="AM19" s="21"/>
      <c r="AN19" s="20" t="s">
        <v>114</v>
      </c>
      <c r="AO19" s="21"/>
    </row>
    <row r="20" spans="1:41" ht="15" customHeight="1" x14ac:dyDescent="0.45">
      <c r="A20" s="2">
        <v>3</v>
      </c>
      <c r="B20" s="43" t="s">
        <v>10</v>
      </c>
      <c r="C20" s="43"/>
      <c r="D20" s="43"/>
      <c r="E20" s="43"/>
      <c r="F20" s="4"/>
      <c r="G20" s="43" t="s">
        <v>10</v>
      </c>
      <c r="H20" s="43"/>
      <c r="I20" s="43"/>
      <c r="J20" s="8"/>
      <c r="K20" s="8" t="s">
        <v>39</v>
      </c>
      <c r="L20" s="8" t="s">
        <v>39</v>
      </c>
      <c r="M20" s="8"/>
      <c r="N20" s="43" t="s">
        <v>49</v>
      </c>
      <c r="O20" s="43"/>
      <c r="P20" s="43" t="s">
        <v>69</v>
      </c>
      <c r="Q20" s="43"/>
      <c r="R20" s="10">
        <v>1</v>
      </c>
      <c r="S20" s="5" t="s">
        <v>86</v>
      </c>
      <c r="T20" s="11">
        <v>245</v>
      </c>
      <c r="U20" s="11">
        <v>0.91200000000000003</v>
      </c>
      <c r="V20" s="34">
        <v>0.91200000000000003</v>
      </c>
      <c r="W20" s="34"/>
      <c r="X20" s="34"/>
      <c r="Y20" s="24" t="s">
        <v>106</v>
      </c>
      <c r="Z20" s="24"/>
      <c r="AA20" s="24"/>
      <c r="AB20" s="24"/>
      <c r="AC20" s="24"/>
      <c r="AK20" s="29"/>
      <c r="AL20" s="20" t="s">
        <v>114</v>
      </c>
      <c r="AM20" s="21"/>
      <c r="AN20" s="20" t="s">
        <v>114</v>
      </c>
      <c r="AO20" s="21"/>
    </row>
    <row r="21" spans="1:41" ht="23.25" customHeight="1" x14ac:dyDescent="0.45">
      <c r="A21" s="2">
        <v>4</v>
      </c>
      <c r="B21" s="43" t="s">
        <v>11</v>
      </c>
      <c r="C21" s="43"/>
      <c r="D21" s="43"/>
      <c r="E21" s="43"/>
      <c r="F21" s="5" t="s">
        <v>31</v>
      </c>
      <c r="G21" s="43" t="s">
        <v>11</v>
      </c>
      <c r="H21" s="43"/>
      <c r="I21" s="43"/>
      <c r="J21" s="8"/>
      <c r="K21" s="8" t="s">
        <v>39</v>
      </c>
      <c r="L21" s="8" t="s">
        <v>39</v>
      </c>
      <c r="M21" s="8"/>
      <c r="N21" s="43" t="s">
        <v>50</v>
      </c>
      <c r="O21" s="43"/>
      <c r="P21" s="43" t="s">
        <v>70</v>
      </c>
      <c r="Q21" s="43"/>
      <c r="R21" s="10">
        <v>1</v>
      </c>
      <c r="S21" s="5" t="s">
        <v>86</v>
      </c>
      <c r="T21" s="11">
        <v>138</v>
      </c>
      <c r="U21" s="11">
        <v>0.81100000000000005</v>
      </c>
      <c r="V21" s="34">
        <v>0.81100000000000005</v>
      </c>
      <c r="W21" s="34"/>
      <c r="X21" s="34"/>
      <c r="Y21" s="24" t="s">
        <v>120</v>
      </c>
      <c r="Z21" s="24"/>
      <c r="AA21" s="24"/>
      <c r="AB21" s="24"/>
      <c r="AC21" s="24"/>
      <c r="AK21" s="29"/>
      <c r="AL21" s="20" t="s">
        <v>114</v>
      </c>
      <c r="AM21" s="21"/>
      <c r="AN21" s="20" t="s">
        <v>114</v>
      </c>
      <c r="AO21" s="21"/>
    </row>
    <row r="22" spans="1:41" ht="24" customHeight="1" x14ac:dyDescent="0.45">
      <c r="A22" s="2">
        <v>5</v>
      </c>
      <c r="B22" s="43" t="s">
        <v>11</v>
      </c>
      <c r="C22" s="43"/>
      <c r="D22" s="43"/>
      <c r="E22" s="43"/>
      <c r="F22" s="5" t="s">
        <v>31</v>
      </c>
      <c r="G22" s="43" t="s">
        <v>11</v>
      </c>
      <c r="H22" s="43"/>
      <c r="I22" s="43"/>
      <c r="J22" s="8"/>
      <c r="K22" s="8" t="s">
        <v>39</v>
      </c>
      <c r="L22" s="8" t="s">
        <v>39</v>
      </c>
      <c r="M22" s="8"/>
      <c r="N22" s="43" t="s">
        <v>51</v>
      </c>
      <c r="O22" s="43"/>
      <c r="P22" s="43" t="s">
        <v>70</v>
      </c>
      <c r="Q22" s="43"/>
      <c r="R22" s="10">
        <v>3</v>
      </c>
      <c r="S22" s="5" t="s">
        <v>86</v>
      </c>
      <c r="T22" s="11">
        <v>2419</v>
      </c>
      <c r="U22" s="11">
        <v>7.2450000000000001</v>
      </c>
      <c r="V22" s="34">
        <v>7.2450000000000001</v>
      </c>
      <c r="W22" s="34"/>
      <c r="X22" s="34"/>
      <c r="Y22" s="24" t="s">
        <v>118</v>
      </c>
      <c r="Z22" s="24"/>
      <c r="AA22" s="24"/>
      <c r="AB22" s="24"/>
      <c r="AC22" s="24"/>
      <c r="AK22" s="29"/>
      <c r="AL22" s="16" t="s">
        <v>115</v>
      </c>
      <c r="AM22" s="17"/>
      <c r="AN22" s="16" t="s">
        <v>116</v>
      </c>
      <c r="AO22" s="17"/>
    </row>
    <row r="23" spans="1:41" ht="14.25" customHeight="1" x14ac:dyDescent="0.45">
      <c r="A23" s="2">
        <v>6</v>
      </c>
      <c r="B23" s="43" t="s">
        <v>12</v>
      </c>
      <c r="C23" s="43"/>
      <c r="D23" s="43"/>
      <c r="E23" s="43"/>
      <c r="F23" s="4"/>
      <c r="G23" s="43" t="s">
        <v>12</v>
      </c>
      <c r="H23" s="43"/>
      <c r="I23" s="43"/>
      <c r="J23" s="8"/>
      <c r="K23" s="8" t="s">
        <v>39</v>
      </c>
      <c r="L23" s="8" t="s">
        <v>39</v>
      </c>
      <c r="M23" s="8"/>
      <c r="N23" s="43" t="s">
        <v>52</v>
      </c>
      <c r="O23" s="43"/>
      <c r="P23" s="43" t="s">
        <v>71</v>
      </c>
      <c r="Q23" s="43"/>
      <c r="R23" s="10">
        <v>1</v>
      </c>
      <c r="S23" s="5" t="s">
        <v>86</v>
      </c>
      <c r="T23" s="11">
        <v>399</v>
      </c>
      <c r="U23" s="11">
        <v>2.1680000000000001</v>
      </c>
      <c r="V23" s="34">
        <v>2.1680000000000001</v>
      </c>
      <c r="W23" s="34"/>
      <c r="X23" s="34"/>
      <c r="Y23" s="24" t="s">
        <v>107</v>
      </c>
      <c r="Z23" s="24"/>
      <c r="AA23" s="24"/>
      <c r="AB23" s="24"/>
      <c r="AC23" s="24"/>
      <c r="AK23" s="29"/>
      <c r="AL23" s="16" t="s">
        <v>136</v>
      </c>
      <c r="AM23" s="17"/>
      <c r="AN23" s="16" t="s">
        <v>140</v>
      </c>
      <c r="AO23" s="17"/>
    </row>
    <row r="24" spans="1:41" ht="21" customHeight="1" x14ac:dyDescent="0.45">
      <c r="A24" s="2">
        <v>7</v>
      </c>
      <c r="B24" s="43" t="s">
        <v>13</v>
      </c>
      <c r="C24" s="43"/>
      <c r="D24" s="43"/>
      <c r="E24" s="43"/>
      <c r="F24" s="4"/>
      <c r="G24" s="43" t="s">
        <v>13</v>
      </c>
      <c r="H24" s="43"/>
      <c r="I24" s="43"/>
      <c r="J24" s="8"/>
      <c r="K24" s="8" t="s">
        <v>39</v>
      </c>
      <c r="L24" s="8" t="s">
        <v>39</v>
      </c>
      <c r="M24" s="9" t="s">
        <v>45</v>
      </c>
      <c r="N24" s="43" t="s">
        <v>53</v>
      </c>
      <c r="O24" s="43"/>
      <c r="P24" s="43" t="s">
        <v>72</v>
      </c>
      <c r="Q24" s="43"/>
      <c r="R24" s="10">
        <v>5</v>
      </c>
      <c r="S24" s="5" t="s">
        <v>86</v>
      </c>
      <c r="T24" s="11">
        <v>5458.01</v>
      </c>
      <c r="U24" s="11">
        <v>8.2669999999999995</v>
      </c>
      <c r="V24" s="34">
        <v>8.2669999999999995</v>
      </c>
      <c r="W24" s="34"/>
      <c r="X24" s="34"/>
      <c r="Y24" s="24" t="s">
        <v>122</v>
      </c>
      <c r="Z24" s="24"/>
      <c r="AA24" s="24"/>
      <c r="AB24" s="24"/>
      <c r="AC24" s="24"/>
      <c r="AK24" s="29"/>
      <c r="AL24" s="20" t="s">
        <v>141</v>
      </c>
      <c r="AM24" s="21"/>
      <c r="AN24" s="20" t="s">
        <v>142</v>
      </c>
      <c r="AO24" s="21"/>
    </row>
    <row r="25" spans="1:41" ht="30.75" customHeight="1" x14ac:dyDescent="0.45">
      <c r="A25" s="2">
        <v>8</v>
      </c>
      <c r="B25" s="43" t="s">
        <v>14</v>
      </c>
      <c r="C25" s="43"/>
      <c r="D25" s="43"/>
      <c r="E25" s="43"/>
      <c r="F25" s="4"/>
      <c r="G25" s="43" t="s">
        <v>14</v>
      </c>
      <c r="H25" s="43"/>
      <c r="I25" s="43"/>
      <c r="J25" s="8"/>
      <c r="K25" s="8" t="s">
        <v>39</v>
      </c>
      <c r="L25" s="8" t="s">
        <v>39</v>
      </c>
      <c r="M25" s="8"/>
      <c r="N25" s="43" t="s">
        <v>54</v>
      </c>
      <c r="O25" s="43"/>
      <c r="P25" s="43" t="s">
        <v>73</v>
      </c>
      <c r="Q25" s="43"/>
      <c r="R25" s="10">
        <v>5</v>
      </c>
      <c r="S25" s="4"/>
      <c r="T25" s="11">
        <v>964</v>
      </c>
      <c r="U25" s="11">
        <v>6.0940000000000003</v>
      </c>
      <c r="V25" s="34">
        <v>6.0940000000000003</v>
      </c>
      <c r="W25" s="34"/>
      <c r="X25" s="34"/>
      <c r="Y25" s="24" t="s">
        <v>117</v>
      </c>
      <c r="Z25" s="24"/>
      <c r="AA25" s="24"/>
      <c r="AB25" s="24"/>
      <c r="AC25" s="24"/>
      <c r="AK25" s="29"/>
      <c r="AL25" s="20" t="s">
        <v>119</v>
      </c>
      <c r="AM25" s="21"/>
      <c r="AN25" s="20" t="s">
        <v>143</v>
      </c>
      <c r="AO25" s="21"/>
    </row>
    <row r="26" spans="1:41" ht="20.25" customHeight="1" x14ac:dyDescent="0.45">
      <c r="A26" s="2">
        <v>9</v>
      </c>
      <c r="B26" s="43" t="s">
        <v>15</v>
      </c>
      <c r="C26" s="43"/>
      <c r="D26" s="43"/>
      <c r="E26" s="43"/>
      <c r="F26" s="4"/>
      <c r="G26" s="43" t="s">
        <v>15</v>
      </c>
      <c r="H26" s="43"/>
      <c r="I26" s="43"/>
      <c r="J26" s="8"/>
      <c r="K26" s="8" t="s">
        <v>39</v>
      </c>
      <c r="L26" s="8" t="s">
        <v>39</v>
      </c>
      <c r="M26" s="9" t="s">
        <v>45</v>
      </c>
      <c r="N26" s="43" t="s">
        <v>55</v>
      </c>
      <c r="O26" s="43"/>
      <c r="P26" s="43" t="s">
        <v>74</v>
      </c>
      <c r="Q26" s="43"/>
      <c r="R26" s="10">
        <v>3</v>
      </c>
      <c r="S26" s="5" t="s">
        <v>86</v>
      </c>
      <c r="T26" s="11">
        <v>1595</v>
      </c>
      <c r="U26" s="11">
        <v>3.702</v>
      </c>
      <c r="V26" s="34">
        <v>3.702</v>
      </c>
      <c r="W26" s="34"/>
      <c r="X26" s="34"/>
      <c r="Y26" s="24" t="s">
        <v>121</v>
      </c>
      <c r="Z26" s="24"/>
      <c r="AA26" s="24"/>
      <c r="AB26" s="24"/>
      <c r="AC26" s="24"/>
      <c r="AK26" s="29"/>
      <c r="AL26" s="16" t="s">
        <v>144</v>
      </c>
      <c r="AM26" s="17"/>
      <c r="AN26" s="16" t="s">
        <v>145</v>
      </c>
      <c r="AO26" s="17"/>
    </row>
    <row r="27" spans="1:41" ht="24" customHeight="1" x14ac:dyDescent="0.45">
      <c r="A27" s="2">
        <v>10</v>
      </c>
      <c r="B27" s="43" t="s">
        <v>16</v>
      </c>
      <c r="C27" s="43"/>
      <c r="D27" s="43"/>
      <c r="E27" s="43"/>
      <c r="F27" s="5" t="s">
        <v>32</v>
      </c>
      <c r="G27" s="43" t="s">
        <v>16</v>
      </c>
      <c r="H27" s="43"/>
      <c r="I27" s="43"/>
      <c r="J27" s="8"/>
      <c r="K27" s="8" t="s">
        <v>39</v>
      </c>
      <c r="L27" s="8" t="s">
        <v>39</v>
      </c>
      <c r="M27" s="9" t="s">
        <v>45</v>
      </c>
      <c r="N27" s="43" t="s">
        <v>56</v>
      </c>
      <c r="O27" s="43"/>
      <c r="P27" s="43" t="s">
        <v>75</v>
      </c>
      <c r="Q27" s="43"/>
      <c r="R27" s="10">
        <v>46</v>
      </c>
      <c r="S27" s="5" t="s">
        <v>87</v>
      </c>
      <c r="T27" s="11">
        <v>1035</v>
      </c>
      <c r="U27" s="11">
        <v>1.82</v>
      </c>
      <c r="V27" s="34">
        <v>1.82</v>
      </c>
      <c r="W27" s="34"/>
      <c r="X27" s="34"/>
      <c r="Y27" s="25"/>
      <c r="Z27" s="25"/>
      <c r="AA27" s="25"/>
      <c r="AB27" s="25"/>
      <c r="AC27" s="25"/>
      <c r="AK27" s="29"/>
      <c r="AL27" s="16" t="s">
        <v>146</v>
      </c>
      <c r="AM27" s="17"/>
      <c r="AN27" s="16" t="s">
        <v>147</v>
      </c>
      <c r="AO27" s="17"/>
    </row>
    <row r="28" spans="1:41" ht="21" customHeight="1" x14ac:dyDescent="0.45">
      <c r="A28" s="2">
        <v>11</v>
      </c>
      <c r="B28" s="43" t="s">
        <v>17</v>
      </c>
      <c r="C28" s="43"/>
      <c r="D28" s="43"/>
      <c r="E28" s="43"/>
      <c r="F28" s="4"/>
      <c r="G28" s="43" t="s">
        <v>17</v>
      </c>
      <c r="H28" s="43"/>
      <c r="I28" s="43"/>
      <c r="J28" s="8"/>
      <c r="K28" s="8" t="s">
        <v>39</v>
      </c>
      <c r="L28" s="8" t="s">
        <v>39</v>
      </c>
      <c r="M28" s="9" t="s">
        <v>45</v>
      </c>
      <c r="N28" s="43" t="s">
        <v>57</v>
      </c>
      <c r="O28" s="43"/>
      <c r="P28" s="43" t="s">
        <v>76</v>
      </c>
      <c r="Q28" s="43"/>
      <c r="R28" s="10">
        <v>3</v>
      </c>
      <c r="S28" s="5" t="s">
        <v>86</v>
      </c>
      <c r="T28" s="11">
        <v>783.78</v>
      </c>
      <c r="U28" s="11">
        <v>5.9889999999999999</v>
      </c>
      <c r="V28" s="34">
        <v>5.9889999999999999</v>
      </c>
      <c r="W28" s="34"/>
      <c r="X28" s="34"/>
      <c r="Y28" s="24" t="s">
        <v>108</v>
      </c>
      <c r="Z28" s="24"/>
      <c r="AA28" s="24"/>
      <c r="AB28" s="24"/>
      <c r="AC28" s="24"/>
      <c r="AK28" s="29"/>
      <c r="AL28" s="20" t="s">
        <v>137</v>
      </c>
      <c r="AM28" s="21"/>
      <c r="AN28" s="20" t="s">
        <v>138</v>
      </c>
      <c r="AO28" s="21"/>
    </row>
    <row r="29" spans="1:41" ht="14.25" customHeight="1" x14ac:dyDescent="0.45">
      <c r="A29" s="2">
        <v>12</v>
      </c>
      <c r="B29" s="43" t="s">
        <v>18</v>
      </c>
      <c r="C29" s="43"/>
      <c r="D29" s="43"/>
      <c r="E29" s="43"/>
      <c r="F29" s="4"/>
      <c r="G29" s="43" t="s">
        <v>18</v>
      </c>
      <c r="H29" s="43"/>
      <c r="I29" s="43"/>
      <c r="J29" s="8"/>
      <c r="K29" s="8" t="s">
        <v>39</v>
      </c>
      <c r="L29" s="8" t="s">
        <v>39</v>
      </c>
      <c r="M29" s="8"/>
      <c r="N29" s="43" t="s">
        <v>58</v>
      </c>
      <c r="O29" s="43"/>
      <c r="P29" s="43" t="s">
        <v>77</v>
      </c>
      <c r="Q29" s="43"/>
      <c r="R29" s="10">
        <v>2</v>
      </c>
      <c r="S29" s="5" t="s">
        <v>86</v>
      </c>
      <c r="T29" s="11">
        <v>685</v>
      </c>
      <c r="U29" s="11">
        <v>2.1539999999999999</v>
      </c>
      <c r="V29" s="34">
        <v>2.1539999999999999</v>
      </c>
      <c r="W29" s="34"/>
      <c r="X29" s="34"/>
      <c r="Y29" s="24" t="s">
        <v>126</v>
      </c>
      <c r="Z29" s="24"/>
      <c r="AA29" s="24"/>
      <c r="AB29" s="24"/>
      <c r="AC29" s="24"/>
      <c r="AK29" s="29"/>
      <c r="AL29" s="20" t="s">
        <v>148</v>
      </c>
      <c r="AM29" s="21"/>
      <c r="AN29" s="20" t="s">
        <v>149</v>
      </c>
      <c r="AO29" s="21"/>
    </row>
    <row r="30" spans="1:41" ht="45.75" customHeight="1" x14ac:dyDescent="0.45">
      <c r="A30" s="2">
        <v>13</v>
      </c>
      <c r="B30" s="43" t="s">
        <v>19</v>
      </c>
      <c r="C30" s="43"/>
      <c r="D30" s="43"/>
      <c r="E30" s="43"/>
      <c r="F30" s="5" t="s">
        <v>33</v>
      </c>
      <c r="G30" s="43" t="s">
        <v>19</v>
      </c>
      <c r="H30" s="43"/>
      <c r="I30" s="43"/>
      <c r="J30" s="8"/>
      <c r="K30" s="8" t="s">
        <v>39</v>
      </c>
      <c r="L30" s="8" t="s">
        <v>39</v>
      </c>
      <c r="M30" s="8"/>
      <c r="N30" s="43" t="s">
        <v>59</v>
      </c>
      <c r="O30" s="43"/>
      <c r="P30" s="43" t="s">
        <v>78</v>
      </c>
      <c r="Q30" s="43"/>
      <c r="R30" s="10">
        <v>1</v>
      </c>
      <c r="S30" s="5" t="s">
        <v>86</v>
      </c>
      <c r="T30" s="11">
        <v>126.6</v>
      </c>
      <c r="U30" s="11">
        <v>0.72799999999999998</v>
      </c>
      <c r="V30" s="34">
        <v>0.72799999999999998</v>
      </c>
      <c r="W30" s="34"/>
      <c r="X30" s="34"/>
      <c r="Y30" s="24" t="s">
        <v>109</v>
      </c>
      <c r="Z30" s="24"/>
      <c r="AA30" s="24"/>
      <c r="AB30" s="24"/>
      <c r="AC30" s="24"/>
      <c r="AK30" s="29"/>
      <c r="AL30" s="16" t="s">
        <v>150</v>
      </c>
      <c r="AM30" s="17"/>
      <c r="AN30" s="16" t="s">
        <v>151</v>
      </c>
      <c r="AO30" s="17"/>
    </row>
    <row r="31" spans="1:41" ht="21" customHeight="1" x14ac:dyDescent="0.45">
      <c r="A31" s="2">
        <v>14</v>
      </c>
      <c r="B31" s="43" t="s">
        <v>20</v>
      </c>
      <c r="C31" s="43"/>
      <c r="D31" s="43"/>
      <c r="E31" s="43"/>
      <c r="F31" s="4"/>
      <c r="G31" s="43" t="s">
        <v>20</v>
      </c>
      <c r="H31" s="43"/>
      <c r="I31" s="43"/>
      <c r="J31" s="8"/>
      <c r="K31" s="8" t="s">
        <v>39</v>
      </c>
      <c r="L31" s="8" t="s">
        <v>39</v>
      </c>
      <c r="M31" s="9" t="s">
        <v>45</v>
      </c>
      <c r="N31" s="43" t="s">
        <v>60</v>
      </c>
      <c r="O31" s="43"/>
      <c r="P31" s="43" t="s">
        <v>79</v>
      </c>
      <c r="Q31" s="43"/>
      <c r="R31" s="10">
        <v>2</v>
      </c>
      <c r="S31" s="5" t="s">
        <v>88</v>
      </c>
      <c r="T31" s="11">
        <v>165</v>
      </c>
      <c r="U31" s="11">
        <v>0.43099999999999999</v>
      </c>
      <c r="V31" s="34">
        <v>0.43099999999999999</v>
      </c>
      <c r="W31" s="34"/>
      <c r="X31" s="34"/>
      <c r="Y31" s="38" t="s">
        <v>110</v>
      </c>
      <c r="Z31" s="38"/>
      <c r="AA31" s="38"/>
      <c r="AB31" s="38"/>
      <c r="AC31" s="38"/>
      <c r="AD31" s="18" t="s">
        <v>128</v>
      </c>
      <c r="AE31" s="19"/>
      <c r="AF31" s="19"/>
      <c r="AG31" s="19"/>
      <c r="AH31" s="19"/>
      <c r="AI31" s="19"/>
      <c r="AK31" s="29"/>
      <c r="AL31" s="16" t="s">
        <v>149</v>
      </c>
      <c r="AM31" s="17"/>
      <c r="AN31" s="16" t="s">
        <v>139</v>
      </c>
      <c r="AO31" s="17"/>
    </row>
    <row r="32" spans="1:41" ht="14.25" customHeight="1" x14ac:dyDescent="0.45">
      <c r="A32" s="2">
        <v>15</v>
      </c>
      <c r="B32" s="43" t="s">
        <v>21</v>
      </c>
      <c r="C32" s="43"/>
      <c r="D32" s="43"/>
      <c r="E32" s="43"/>
      <c r="F32" s="4"/>
      <c r="G32" s="43" t="s">
        <v>21</v>
      </c>
      <c r="H32" s="43"/>
      <c r="I32" s="43"/>
      <c r="J32" s="8"/>
      <c r="K32" s="8" t="s">
        <v>39</v>
      </c>
      <c r="L32" s="8" t="s">
        <v>39</v>
      </c>
      <c r="M32" s="9" t="s">
        <v>45</v>
      </c>
      <c r="N32" s="43" t="s">
        <v>61</v>
      </c>
      <c r="O32" s="43"/>
      <c r="P32" s="43" t="s">
        <v>80</v>
      </c>
      <c r="Q32" s="43"/>
      <c r="R32" s="10">
        <v>1</v>
      </c>
      <c r="S32" s="5" t="s">
        <v>86</v>
      </c>
      <c r="T32" s="11">
        <v>588</v>
      </c>
      <c r="U32" s="11">
        <v>1.4690000000000001</v>
      </c>
      <c r="V32" s="34">
        <v>1.4690000000000001</v>
      </c>
      <c r="W32" s="34"/>
      <c r="X32" s="34"/>
      <c r="Y32" s="24" t="s">
        <v>123</v>
      </c>
      <c r="Z32" s="24"/>
      <c r="AA32" s="24"/>
      <c r="AB32" s="24"/>
      <c r="AC32" s="24"/>
      <c r="AK32" s="29"/>
      <c r="AL32" s="20" t="s">
        <v>152</v>
      </c>
      <c r="AM32" s="21"/>
      <c r="AN32" s="20" t="s">
        <v>152</v>
      </c>
      <c r="AO32" s="21"/>
    </row>
    <row r="33" spans="1:41" ht="24" customHeight="1" x14ac:dyDescent="0.45">
      <c r="A33" s="2">
        <v>16</v>
      </c>
      <c r="B33" s="43" t="s">
        <v>22</v>
      </c>
      <c r="C33" s="43"/>
      <c r="D33" s="43"/>
      <c r="E33" s="43"/>
      <c r="F33" s="4"/>
      <c r="G33" s="46" t="s">
        <v>127</v>
      </c>
      <c r="H33" s="43"/>
      <c r="I33" s="43"/>
      <c r="J33" s="8"/>
      <c r="K33" s="8" t="s">
        <v>39</v>
      </c>
      <c r="L33" s="8" t="s">
        <v>39</v>
      </c>
      <c r="M33" s="8"/>
      <c r="N33" s="43" t="s">
        <v>62</v>
      </c>
      <c r="O33" s="43"/>
      <c r="P33" s="43" t="s">
        <v>81</v>
      </c>
      <c r="Q33" s="43"/>
      <c r="R33" s="10">
        <v>3</v>
      </c>
      <c r="S33" s="4"/>
      <c r="T33" s="11">
        <v>350</v>
      </c>
      <c r="U33" s="11">
        <v>2.681</v>
      </c>
      <c r="V33" s="34">
        <v>2.681</v>
      </c>
      <c r="W33" s="34"/>
      <c r="X33" s="34"/>
      <c r="Y33" s="25" t="s">
        <v>131</v>
      </c>
      <c r="Z33" s="25"/>
      <c r="AA33" s="25"/>
      <c r="AB33" s="25"/>
      <c r="AC33" s="25"/>
      <c r="AK33" s="29"/>
      <c r="AL33" s="20" t="s">
        <v>149</v>
      </c>
      <c r="AM33" s="21"/>
      <c r="AN33" s="20" t="s">
        <v>153</v>
      </c>
      <c r="AO33" s="21"/>
    </row>
    <row r="34" spans="1:41" ht="14.25" customHeight="1" x14ac:dyDescent="0.45">
      <c r="A34" s="2">
        <v>17</v>
      </c>
      <c r="B34" s="43" t="s">
        <v>23</v>
      </c>
      <c r="C34" s="43"/>
      <c r="D34" s="43"/>
      <c r="E34" s="43"/>
      <c r="F34" s="4"/>
      <c r="G34" s="43" t="s">
        <v>23</v>
      </c>
      <c r="H34" s="43"/>
      <c r="I34" s="43"/>
      <c r="J34" s="8"/>
      <c r="K34" s="8" t="s">
        <v>39</v>
      </c>
      <c r="L34" s="8" t="s">
        <v>39</v>
      </c>
      <c r="M34" s="8"/>
      <c r="N34" s="46" t="s">
        <v>125</v>
      </c>
      <c r="O34" s="43"/>
      <c r="P34" s="43" t="s">
        <v>82</v>
      </c>
      <c r="Q34" s="43"/>
      <c r="R34" s="10">
        <v>1</v>
      </c>
      <c r="S34" s="4"/>
      <c r="T34" s="11">
        <v>455</v>
      </c>
      <c r="U34" s="11">
        <v>1.4450000000000001</v>
      </c>
      <c r="V34" s="34">
        <v>1.4450000000000001</v>
      </c>
      <c r="W34" s="34"/>
      <c r="X34" s="34"/>
      <c r="Y34" s="26" t="s">
        <v>124</v>
      </c>
      <c r="Z34" s="27"/>
      <c r="AA34" s="27"/>
      <c r="AB34" s="27"/>
      <c r="AC34" s="27"/>
      <c r="AK34" s="29"/>
      <c r="AL34" s="16" t="s">
        <v>154</v>
      </c>
      <c r="AM34" s="17"/>
      <c r="AN34" s="16" t="s">
        <v>155</v>
      </c>
      <c r="AO34" s="17"/>
    </row>
    <row r="35" spans="1:41" x14ac:dyDescent="0.45">
      <c r="A35" s="81">
        <v>1</v>
      </c>
      <c r="B35" s="76" t="s">
        <v>213</v>
      </c>
      <c r="C35" s="79"/>
      <c r="D35" s="79"/>
      <c r="E35" s="75"/>
      <c r="F35" s="80"/>
      <c r="G35" s="76" t="s">
        <v>213</v>
      </c>
      <c r="H35" s="79"/>
      <c r="I35" s="75"/>
      <c r="J35" s="78"/>
      <c r="K35" s="78" t="s">
        <v>39</v>
      </c>
      <c r="L35" s="78" t="s">
        <v>39</v>
      </c>
      <c r="M35" s="77" t="s">
        <v>45</v>
      </c>
      <c r="N35" s="76" t="s">
        <v>215</v>
      </c>
      <c r="O35" s="75"/>
      <c r="P35" s="76" t="s">
        <v>211</v>
      </c>
      <c r="Q35" s="75"/>
      <c r="R35" s="74">
        <v>3</v>
      </c>
      <c r="S35" s="73" t="s">
        <v>86</v>
      </c>
      <c r="T35" s="64">
        <v>396.4</v>
      </c>
      <c r="U35" s="64">
        <v>3.1459999999999999</v>
      </c>
      <c r="V35" s="63">
        <v>3.1459999999999999</v>
      </c>
      <c r="W35" s="62"/>
      <c r="X35" s="61"/>
      <c r="Y35" s="84" t="s">
        <v>214</v>
      </c>
      <c r="Z35" s="83"/>
      <c r="AA35" s="83"/>
      <c r="AB35" s="83"/>
      <c r="AC35" s="82"/>
      <c r="AH35" s="14"/>
      <c r="AI35" s="14"/>
      <c r="AK35" s="29"/>
      <c r="AL35" s="20" t="s">
        <v>156</v>
      </c>
      <c r="AM35" s="21"/>
      <c r="AN35" s="20" t="s">
        <v>157</v>
      </c>
      <c r="AO35" s="21"/>
    </row>
    <row r="36" spans="1:41" x14ac:dyDescent="0.45">
      <c r="A36" s="81">
        <v>2</v>
      </c>
      <c r="B36" s="76" t="s">
        <v>213</v>
      </c>
      <c r="C36" s="79"/>
      <c r="D36" s="79"/>
      <c r="E36" s="75"/>
      <c r="F36" s="80"/>
      <c r="G36" s="76" t="s">
        <v>213</v>
      </c>
      <c r="H36" s="79"/>
      <c r="I36" s="75"/>
      <c r="J36" s="78"/>
      <c r="K36" s="78" t="s">
        <v>39</v>
      </c>
      <c r="L36" s="78" t="s">
        <v>39</v>
      </c>
      <c r="M36" s="77" t="s">
        <v>45</v>
      </c>
      <c r="N36" s="76" t="s">
        <v>212</v>
      </c>
      <c r="O36" s="75"/>
      <c r="P36" s="76" t="s">
        <v>211</v>
      </c>
      <c r="Q36" s="75"/>
      <c r="R36" s="74">
        <v>2</v>
      </c>
      <c r="S36" s="73" t="s">
        <v>86</v>
      </c>
      <c r="T36" s="64">
        <v>2070.8000000000002</v>
      </c>
      <c r="U36" s="64">
        <v>4.0780000000000003</v>
      </c>
      <c r="V36" s="63">
        <v>4.0780000000000003</v>
      </c>
      <c r="W36" s="62"/>
      <c r="X36" s="61"/>
      <c r="Y36" s="93" t="s">
        <v>210</v>
      </c>
      <c r="Z36" s="92"/>
      <c r="AA36" s="92"/>
      <c r="AB36" s="92"/>
      <c r="AC36" s="91"/>
      <c r="AH36" s="22"/>
      <c r="AI36" s="23"/>
      <c r="AK36" s="29"/>
      <c r="AL36" s="20" t="s">
        <v>158</v>
      </c>
      <c r="AM36" s="21"/>
      <c r="AN36" s="20" t="s">
        <v>159</v>
      </c>
      <c r="AO36" s="21"/>
    </row>
    <row r="37" spans="1:41" x14ac:dyDescent="0.45">
      <c r="A37" s="81">
        <v>3</v>
      </c>
      <c r="B37" s="76" t="s">
        <v>209</v>
      </c>
      <c r="C37" s="79"/>
      <c r="D37" s="79"/>
      <c r="E37" s="75"/>
      <c r="F37" s="80"/>
      <c r="G37" s="76" t="s">
        <v>209</v>
      </c>
      <c r="H37" s="79"/>
      <c r="I37" s="75"/>
      <c r="J37" s="78"/>
      <c r="K37" s="78" t="s">
        <v>39</v>
      </c>
      <c r="L37" s="78" t="s">
        <v>39</v>
      </c>
      <c r="M37" s="77" t="s">
        <v>45</v>
      </c>
      <c r="N37" s="76" t="s">
        <v>47</v>
      </c>
      <c r="O37" s="75"/>
      <c r="P37" s="76" t="s">
        <v>67</v>
      </c>
      <c r="Q37" s="75"/>
      <c r="R37" s="74">
        <v>10</v>
      </c>
      <c r="S37" s="73" t="s">
        <v>85</v>
      </c>
      <c r="T37" s="64">
        <v>610</v>
      </c>
      <c r="U37" s="64">
        <v>4.4020000000000001</v>
      </c>
      <c r="V37" s="63">
        <v>4.4020000000000001</v>
      </c>
      <c r="W37" s="62"/>
      <c r="X37" s="61"/>
      <c r="Y37" s="93" t="s">
        <v>208</v>
      </c>
      <c r="Z37" s="92"/>
      <c r="AA37" s="92"/>
      <c r="AB37" s="92"/>
      <c r="AC37" s="91"/>
      <c r="AH37" s="14"/>
      <c r="AI37" s="14"/>
      <c r="AK37" s="29"/>
      <c r="AL37" s="16" t="s">
        <v>129</v>
      </c>
      <c r="AM37" s="17"/>
      <c r="AN37" s="16" t="s">
        <v>160</v>
      </c>
      <c r="AO37" s="17"/>
    </row>
    <row r="38" spans="1:41" x14ac:dyDescent="0.45">
      <c r="A38" s="81">
        <v>4</v>
      </c>
      <c r="B38" s="76" t="s">
        <v>207</v>
      </c>
      <c r="C38" s="79"/>
      <c r="D38" s="79"/>
      <c r="E38" s="75"/>
      <c r="F38" s="80"/>
      <c r="G38" s="76" t="s">
        <v>207</v>
      </c>
      <c r="H38" s="79"/>
      <c r="I38" s="75"/>
      <c r="J38" s="78"/>
      <c r="K38" s="78" t="s">
        <v>39</v>
      </c>
      <c r="L38" s="78" t="s">
        <v>39</v>
      </c>
      <c r="M38" s="77" t="s">
        <v>45</v>
      </c>
      <c r="N38" s="76" t="s">
        <v>206</v>
      </c>
      <c r="O38" s="75"/>
      <c r="P38" s="76" t="s">
        <v>80</v>
      </c>
      <c r="Q38" s="75"/>
      <c r="R38" s="74">
        <v>2</v>
      </c>
      <c r="S38" s="73" t="s">
        <v>86</v>
      </c>
      <c r="T38" s="64">
        <v>736</v>
      </c>
      <c r="U38" s="64">
        <v>1.9359999999999999</v>
      </c>
      <c r="V38" s="63">
        <v>1.9359999999999999</v>
      </c>
      <c r="W38" s="62"/>
      <c r="X38" s="61"/>
      <c r="Y38" s="93" t="s">
        <v>205</v>
      </c>
      <c r="Z38" s="92"/>
      <c r="AA38" s="92"/>
      <c r="AB38" s="92"/>
      <c r="AC38" s="91"/>
      <c r="AH38" s="22"/>
      <c r="AI38" s="23"/>
      <c r="AK38" s="30"/>
      <c r="AL38" s="16" t="s">
        <v>135</v>
      </c>
      <c r="AM38" s="17"/>
      <c r="AN38" s="16"/>
      <c r="AO38" s="17"/>
    </row>
    <row r="39" spans="1:41" x14ac:dyDescent="0.45">
      <c r="A39" s="81">
        <v>5</v>
      </c>
      <c r="B39" s="76" t="s">
        <v>183</v>
      </c>
      <c r="C39" s="79"/>
      <c r="D39" s="79"/>
      <c r="E39" s="75"/>
      <c r="F39" s="73" t="s">
        <v>182</v>
      </c>
      <c r="G39" s="76" t="s">
        <v>181</v>
      </c>
      <c r="H39" s="79"/>
      <c r="I39" s="75"/>
      <c r="J39" s="78"/>
      <c r="K39" s="78" t="s">
        <v>39</v>
      </c>
      <c r="L39" s="78" t="s">
        <v>39</v>
      </c>
      <c r="M39" s="77" t="s">
        <v>45</v>
      </c>
      <c r="N39" s="76" t="s">
        <v>204</v>
      </c>
      <c r="O39" s="75"/>
      <c r="P39" s="76" t="s">
        <v>179</v>
      </c>
      <c r="Q39" s="75"/>
      <c r="R39" s="74">
        <v>1</v>
      </c>
      <c r="S39" s="73" t="s">
        <v>203</v>
      </c>
      <c r="T39" s="64">
        <v>330</v>
      </c>
      <c r="U39" s="64">
        <v>2.8340000000000001</v>
      </c>
      <c r="V39" s="63">
        <v>2.8340000000000001</v>
      </c>
      <c r="W39" s="62"/>
      <c r="X39" s="61"/>
      <c r="Y39" s="93" t="s">
        <v>202</v>
      </c>
      <c r="Z39" s="92"/>
      <c r="AA39" s="92"/>
      <c r="AB39" s="92"/>
      <c r="AC39" s="91"/>
    </row>
    <row r="40" spans="1:41" x14ac:dyDescent="0.45">
      <c r="A40" s="81">
        <v>6</v>
      </c>
      <c r="B40" s="76" t="s">
        <v>183</v>
      </c>
      <c r="C40" s="79"/>
      <c r="D40" s="79"/>
      <c r="E40" s="75"/>
      <c r="F40" s="73" t="s">
        <v>182</v>
      </c>
      <c r="G40" s="76" t="s">
        <v>181</v>
      </c>
      <c r="H40" s="79"/>
      <c r="I40" s="75"/>
      <c r="J40" s="78"/>
      <c r="K40" s="78" t="s">
        <v>39</v>
      </c>
      <c r="L40" s="78" t="s">
        <v>39</v>
      </c>
      <c r="M40" s="77" t="s">
        <v>45</v>
      </c>
      <c r="N40" s="76" t="s">
        <v>201</v>
      </c>
      <c r="O40" s="75"/>
      <c r="P40" s="76" t="s">
        <v>179</v>
      </c>
      <c r="Q40" s="75"/>
      <c r="R40" s="74">
        <v>1</v>
      </c>
      <c r="S40" s="73" t="s">
        <v>86</v>
      </c>
      <c r="T40" s="64">
        <v>148</v>
      </c>
      <c r="U40" s="64">
        <v>1.089</v>
      </c>
      <c r="V40" s="63">
        <v>1.089</v>
      </c>
      <c r="W40" s="62"/>
      <c r="X40" s="61"/>
      <c r="Y40" s="96" t="s">
        <v>200</v>
      </c>
      <c r="Z40" s="95"/>
      <c r="AA40" s="95"/>
      <c r="AB40" s="95"/>
      <c r="AC40" s="94"/>
    </row>
    <row r="41" spans="1:41" x14ac:dyDescent="0.45">
      <c r="A41" s="81">
        <v>7</v>
      </c>
      <c r="B41" s="76" t="s">
        <v>183</v>
      </c>
      <c r="C41" s="79"/>
      <c r="D41" s="79"/>
      <c r="E41" s="75"/>
      <c r="F41" s="73" t="s">
        <v>182</v>
      </c>
      <c r="G41" s="76" t="s">
        <v>181</v>
      </c>
      <c r="H41" s="79"/>
      <c r="I41" s="75"/>
      <c r="J41" s="78"/>
      <c r="K41" s="78" t="s">
        <v>39</v>
      </c>
      <c r="L41" s="78" t="s">
        <v>39</v>
      </c>
      <c r="M41" s="77" t="s">
        <v>45</v>
      </c>
      <c r="N41" s="76" t="s">
        <v>199</v>
      </c>
      <c r="O41" s="75"/>
      <c r="P41" s="76" t="s">
        <v>179</v>
      </c>
      <c r="Q41" s="75"/>
      <c r="R41" s="74">
        <v>1</v>
      </c>
      <c r="S41" s="73" t="s">
        <v>86</v>
      </c>
      <c r="T41" s="64">
        <v>77</v>
      </c>
      <c r="U41" s="64">
        <v>0.72599999999999998</v>
      </c>
      <c r="V41" s="63">
        <v>0.72599999999999998</v>
      </c>
      <c r="W41" s="62"/>
      <c r="X41" s="61"/>
      <c r="Y41" s="93" t="s">
        <v>198</v>
      </c>
      <c r="Z41" s="92"/>
      <c r="AA41" s="92"/>
      <c r="AB41" s="92"/>
      <c r="AC41" s="91"/>
    </row>
    <row r="42" spans="1:41" x14ac:dyDescent="0.45">
      <c r="A42" s="81">
        <v>8</v>
      </c>
      <c r="B42" s="76" t="s">
        <v>183</v>
      </c>
      <c r="C42" s="79"/>
      <c r="D42" s="79"/>
      <c r="E42" s="75"/>
      <c r="F42" s="73" t="s">
        <v>182</v>
      </c>
      <c r="G42" s="76" t="s">
        <v>181</v>
      </c>
      <c r="H42" s="79"/>
      <c r="I42" s="75"/>
      <c r="J42" s="78"/>
      <c r="K42" s="78" t="s">
        <v>39</v>
      </c>
      <c r="L42" s="78" t="s">
        <v>39</v>
      </c>
      <c r="M42" s="77" t="s">
        <v>45</v>
      </c>
      <c r="N42" s="76" t="s">
        <v>180</v>
      </c>
      <c r="O42" s="75"/>
      <c r="P42" s="76" t="s">
        <v>179</v>
      </c>
      <c r="Q42" s="75"/>
      <c r="R42" s="74">
        <v>2</v>
      </c>
      <c r="S42" s="73" t="s">
        <v>195</v>
      </c>
      <c r="T42" s="64">
        <v>2000</v>
      </c>
      <c r="U42" s="64">
        <v>2.617</v>
      </c>
      <c r="V42" s="63">
        <v>2.62</v>
      </c>
      <c r="W42" s="62"/>
      <c r="X42" s="61"/>
      <c r="Y42" s="93" t="s">
        <v>197</v>
      </c>
      <c r="Z42" s="92"/>
      <c r="AA42" s="92"/>
      <c r="AB42" s="92"/>
      <c r="AC42" s="91"/>
    </row>
    <row r="43" spans="1:41" x14ac:dyDescent="0.45">
      <c r="A43" s="81">
        <v>9</v>
      </c>
      <c r="B43" s="76" t="s">
        <v>183</v>
      </c>
      <c r="C43" s="79"/>
      <c r="D43" s="79"/>
      <c r="E43" s="75"/>
      <c r="F43" s="73" t="s">
        <v>182</v>
      </c>
      <c r="G43" s="76" t="s">
        <v>181</v>
      </c>
      <c r="H43" s="79"/>
      <c r="I43" s="75"/>
      <c r="J43" s="78"/>
      <c r="K43" s="78" t="s">
        <v>39</v>
      </c>
      <c r="L43" s="78" t="s">
        <v>39</v>
      </c>
      <c r="M43" s="77" t="s">
        <v>45</v>
      </c>
      <c r="N43" s="76" t="s">
        <v>196</v>
      </c>
      <c r="O43" s="75"/>
      <c r="P43" s="76" t="s">
        <v>179</v>
      </c>
      <c r="Q43" s="75"/>
      <c r="R43" s="74">
        <v>2</v>
      </c>
      <c r="S43" s="73" t="s">
        <v>195</v>
      </c>
      <c r="T43" s="64">
        <v>730</v>
      </c>
      <c r="U43" s="64">
        <v>3.65</v>
      </c>
      <c r="V43" s="63">
        <v>3.65</v>
      </c>
      <c r="W43" s="62"/>
      <c r="X43" s="61"/>
      <c r="Y43" s="93" t="s">
        <v>194</v>
      </c>
      <c r="Z43" s="92"/>
      <c r="AA43" s="92"/>
      <c r="AB43" s="92"/>
      <c r="AC43" s="91"/>
    </row>
    <row r="44" spans="1:41" x14ac:dyDescent="0.45">
      <c r="A44" s="81">
        <v>10</v>
      </c>
      <c r="B44" s="76" t="s">
        <v>183</v>
      </c>
      <c r="C44" s="79"/>
      <c r="D44" s="79"/>
      <c r="E44" s="75"/>
      <c r="F44" s="73" t="s">
        <v>182</v>
      </c>
      <c r="G44" s="76" t="s">
        <v>181</v>
      </c>
      <c r="H44" s="79"/>
      <c r="I44" s="75"/>
      <c r="J44" s="78"/>
      <c r="K44" s="78" t="s">
        <v>39</v>
      </c>
      <c r="L44" s="78" t="s">
        <v>39</v>
      </c>
      <c r="M44" s="77" t="s">
        <v>45</v>
      </c>
      <c r="N44" s="76" t="s">
        <v>193</v>
      </c>
      <c r="O44" s="75"/>
      <c r="P44" s="76" t="s">
        <v>179</v>
      </c>
      <c r="Q44" s="75"/>
      <c r="R44" s="74">
        <v>1</v>
      </c>
      <c r="S44" s="73" t="s">
        <v>86</v>
      </c>
      <c r="T44" s="64">
        <v>919.7</v>
      </c>
      <c r="U44" s="64">
        <v>1.63</v>
      </c>
      <c r="V44" s="63">
        <v>1.63</v>
      </c>
      <c r="W44" s="62"/>
      <c r="X44" s="61"/>
      <c r="Y44" s="84" t="s">
        <v>192</v>
      </c>
      <c r="Z44" s="83"/>
      <c r="AA44" s="83"/>
      <c r="AB44" s="83"/>
      <c r="AC44" s="82"/>
    </row>
    <row r="45" spans="1:41" x14ac:dyDescent="0.45">
      <c r="A45" s="81">
        <v>11</v>
      </c>
      <c r="B45" s="76" t="s">
        <v>183</v>
      </c>
      <c r="C45" s="79"/>
      <c r="D45" s="79"/>
      <c r="E45" s="75"/>
      <c r="F45" s="73" t="s">
        <v>182</v>
      </c>
      <c r="G45" s="76" t="s">
        <v>181</v>
      </c>
      <c r="H45" s="79"/>
      <c r="I45" s="75"/>
      <c r="J45" s="78"/>
      <c r="K45" s="78" t="s">
        <v>39</v>
      </c>
      <c r="L45" s="78" t="s">
        <v>39</v>
      </c>
      <c r="M45" s="77" t="s">
        <v>45</v>
      </c>
      <c r="N45" s="76" t="s">
        <v>191</v>
      </c>
      <c r="O45" s="75"/>
      <c r="P45" s="76" t="s">
        <v>179</v>
      </c>
      <c r="Q45" s="75"/>
      <c r="R45" s="74">
        <v>1</v>
      </c>
      <c r="S45" s="73" t="s">
        <v>86</v>
      </c>
      <c r="T45" s="64">
        <v>192</v>
      </c>
      <c r="U45" s="64">
        <v>1.1200000000000001</v>
      </c>
      <c r="V45" s="63">
        <v>1.1200000000000001</v>
      </c>
      <c r="W45" s="62"/>
      <c r="X45" s="61"/>
      <c r="Y45" s="84" t="s">
        <v>190</v>
      </c>
      <c r="Z45" s="83"/>
      <c r="AA45" s="83"/>
      <c r="AB45" s="83"/>
      <c r="AC45" s="82"/>
    </row>
    <row r="46" spans="1:41" x14ac:dyDescent="0.45">
      <c r="A46" s="81">
        <v>12</v>
      </c>
      <c r="B46" s="76" t="s">
        <v>183</v>
      </c>
      <c r="C46" s="79"/>
      <c r="D46" s="79"/>
      <c r="E46" s="75"/>
      <c r="F46" s="73" t="s">
        <v>182</v>
      </c>
      <c r="G46" s="76" t="s">
        <v>181</v>
      </c>
      <c r="H46" s="79"/>
      <c r="I46" s="75"/>
      <c r="J46" s="78"/>
      <c r="K46" s="78" t="s">
        <v>39</v>
      </c>
      <c r="L46" s="78" t="s">
        <v>39</v>
      </c>
      <c r="M46" s="77" t="s">
        <v>45</v>
      </c>
      <c r="N46" s="76" t="s">
        <v>189</v>
      </c>
      <c r="O46" s="75"/>
      <c r="P46" s="76" t="s">
        <v>179</v>
      </c>
      <c r="Q46" s="75"/>
      <c r="R46" s="74">
        <v>2</v>
      </c>
      <c r="S46" s="73" t="s">
        <v>86</v>
      </c>
      <c r="T46" s="64">
        <v>2100</v>
      </c>
      <c r="U46" s="64">
        <v>1.4690000000000001</v>
      </c>
      <c r="V46" s="63">
        <v>1.4690000000000001</v>
      </c>
      <c r="W46" s="62"/>
      <c r="X46" s="61"/>
      <c r="Y46" s="90" t="s">
        <v>188</v>
      </c>
      <c r="Z46" s="89"/>
      <c r="AA46" s="89"/>
      <c r="AB46" s="89"/>
      <c r="AC46" s="88"/>
    </row>
    <row r="47" spans="1:41" x14ac:dyDescent="0.45">
      <c r="A47" s="81">
        <v>13</v>
      </c>
      <c r="B47" s="76" t="s">
        <v>183</v>
      </c>
      <c r="C47" s="79"/>
      <c r="D47" s="79"/>
      <c r="E47" s="75"/>
      <c r="F47" s="73" t="s">
        <v>182</v>
      </c>
      <c r="G47" s="76" t="s">
        <v>181</v>
      </c>
      <c r="H47" s="79"/>
      <c r="I47" s="75"/>
      <c r="J47" s="78"/>
      <c r="K47" s="78" t="s">
        <v>39</v>
      </c>
      <c r="L47" s="78" t="s">
        <v>39</v>
      </c>
      <c r="M47" s="77" t="s">
        <v>45</v>
      </c>
      <c r="N47" s="76" t="s">
        <v>187</v>
      </c>
      <c r="O47" s="75"/>
      <c r="P47" s="76" t="s">
        <v>179</v>
      </c>
      <c r="Q47" s="75"/>
      <c r="R47" s="74">
        <v>2</v>
      </c>
      <c r="S47" s="73" t="s">
        <v>86</v>
      </c>
      <c r="T47" s="64">
        <v>345.5</v>
      </c>
      <c r="U47" s="64">
        <v>3.41</v>
      </c>
      <c r="V47" s="63">
        <v>3.41</v>
      </c>
      <c r="W47" s="62"/>
      <c r="X47" s="61"/>
      <c r="Y47" s="84" t="s">
        <v>186</v>
      </c>
      <c r="Z47" s="83"/>
      <c r="AA47" s="83"/>
      <c r="AB47" s="83"/>
      <c r="AC47" s="82"/>
    </row>
    <row r="48" spans="1:41" x14ac:dyDescent="0.45">
      <c r="A48" s="81">
        <v>14</v>
      </c>
      <c r="B48" s="76" t="s">
        <v>183</v>
      </c>
      <c r="C48" s="79"/>
      <c r="D48" s="79"/>
      <c r="E48" s="75"/>
      <c r="F48" s="73" t="s">
        <v>182</v>
      </c>
      <c r="G48" s="76" t="s">
        <v>181</v>
      </c>
      <c r="H48" s="79"/>
      <c r="I48" s="75"/>
      <c r="J48" s="78"/>
      <c r="K48" s="78" t="s">
        <v>39</v>
      </c>
      <c r="L48" s="78" t="s">
        <v>39</v>
      </c>
      <c r="M48" s="77" t="s">
        <v>45</v>
      </c>
      <c r="N48" s="76" t="s">
        <v>185</v>
      </c>
      <c r="O48" s="75"/>
      <c r="P48" s="76" t="s">
        <v>179</v>
      </c>
      <c r="Q48" s="75"/>
      <c r="R48" s="74">
        <v>1</v>
      </c>
      <c r="S48" s="73" t="s">
        <v>86</v>
      </c>
      <c r="T48" s="64">
        <v>198</v>
      </c>
      <c r="U48" s="64">
        <v>0.73</v>
      </c>
      <c r="V48" s="63">
        <v>0.73</v>
      </c>
      <c r="W48" s="62"/>
      <c r="X48" s="61"/>
      <c r="Y48" s="87" t="s">
        <v>184</v>
      </c>
      <c r="Z48" s="86"/>
      <c r="AA48" s="86"/>
      <c r="AB48" s="86"/>
      <c r="AC48" s="85"/>
    </row>
    <row r="49" spans="1:29" x14ac:dyDescent="0.45">
      <c r="A49" s="81">
        <v>15</v>
      </c>
      <c r="B49" s="76" t="s">
        <v>183</v>
      </c>
      <c r="C49" s="79"/>
      <c r="D49" s="79"/>
      <c r="E49" s="75"/>
      <c r="F49" s="73" t="s">
        <v>182</v>
      </c>
      <c r="G49" s="76" t="s">
        <v>181</v>
      </c>
      <c r="H49" s="79"/>
      <c r="I49" s="75"/>
      <c r="J49" s="78"/>
      <c r="K49" s="78" t="s">
        <v>39</v>
      </c>
      <c r="L49" s="78" t="s">
        <v>39</v>
      </c>
      <c r="M49" s="77" t="s">
        <v>45</v>
      </c>
      <c r="N49" s="76" t="s">
        <v>180</v>
      </c>
      <c r="O49" s="75"/>
      <c r="P49" s="76" t="s">
        <v>179</v>
      </c>
      <c r="Q49" s="75"/>
      <c r="R49" s="74">
        <v>1</v>
      </c>
      <c r="S49" s="73" t="s">
        <v>87</v>
      </c>
      <c r="T49" s="64">
        <v>0</v>
      </c>
      <c r="U49" s="64">
        <v>1.4390000000000001</v>
      </c>
      <c r="V49" s="63">
        <v>1.44</v>
      </c>
      <c r="W49" s="62"/>
      <c r="X49" s="61"/>
      <c r="Y49" s="84" t="s">
        <v>178</v>
      </c>
      <c r="Z49" s="83"/>
      <c r="AA49" s="83"/>
      <c r="AB49" s="83"/>
      <c r="AC49" s="82"/>
    </row>
    <row r="50" spans="1:29" ht="26.25" x14ac:dyDescent="0.45">
      <c r="A50" s="81">
        <v>16</v>
      </c>
      <c r="B50" s="76" t="s">
        <v>176</v>
      </c>
      <c r="C50" s="79"/>
      <c r="D50" s="79"/>
      <c r="E50" s="75"/>
      <c r="F50" s="73" t="s">
        <v>177</v>
      </c>
      <c r="G50" s="76" t="s">
        <v>176</v>
      </c>
      <c r="H50" s="79"/>
      <c r="I50" s="75"/>
      <c r="J50" s="78"/>
      <c r="K50" s="78" t="s">
        <v>39</v>
      </c>
      <c r="L50" s="78" t="s">
        <v>39</v>
      </c>
      <c r="M50" s="78"/>
      <c r="N50" s="76" t="s">
        <v>175</v>
      </c>
      <c r="O50" s="75"/>
      <c r="P50" s="76" t="s">
        <v>174</v>
      </c>
      <c r="Q50" s="75"/>
      <c r="R50" s="74">
        <v>2</v>
      </c>
      <c r="S50" s="73" t="s">
        <v>86</v>
      </c>
      <c r="T50" s="64">
        <v>1254.3</v>
      </c>
      <c r="U50" s="64">
        <v>3.024</v>
      </c>
      <c r="V50" s="63">
        <v>3.024</v>
      </c>
      <c r="W50" s="62"/>
      <c r="X50" s="61"/>
      <c r="Y50" s="84" t="s">
        <v>173</v>
      </c>
      <c r="Z50" s="83"/>
      <c r="AA50" s="83"/>
      <c r="AB50" s="83"/>
      <c r="AC50" s="82"/>
    </row>
    <row r="51" spans="1:29" x14ac:dyDescent="0.45">
      <c r="A51" s="81">
        <v>17</v>
      </c>
      <c r="B51" s="76" t="s">
        <v>172</v>
      </c>
      <c r="C51" s="79"/>
      <c r="D51" s="79"/>
      <c r="E51" s="75"/>
      <c r="F51" s="80"/>
      <c r="G51" s="76" t="s">
        <v>172</v>
      </c>
      <c r="H51" s="79"/>
      <c r="I51" s="75"/>
      <c r="J51" s="78"/>
      <c r="K51" s="78" t="s">
        <v>39</v>
      </c>
      <c r="L51" s="78" t="s">
        <v>39</v>
      </c>
      <c r="M51" s="77" t="s">
        <v>45</v>
      </c>
      <c r="N51" s="76" t="s">
        <v>171</v>
      </c>
      <c r="O51" s="75"/>
      <c r="P51" s="76" t="s">
        <v>170</v>
      </c>
      <c r="Q51" s="75"/>
      <c r="R51" s="74">
        <v>2</v>
      </c>
      <c r="S51" s="73" t="s">
        <v>86</v>
      </c>
      <c r="T51" s="64">
        <v>434.9</v>
      </c>
      <c r="U51" s="64">
        <v>4.1619999999999999</v>
      </c>
      <c r="V51" s="63">
        <v>4.1619999999999999</v>
      </c>
      <c r="W51" s="62"/>
      <c r="X51" s="61"/>
      <c r="Y51" s="84" t="s">
        <v>169</v>
      </c>
      <c r="Z51" s="83"/>
      <c r="AA51" s="83"/>
      <c r="AB51" s="83"/>
      <c r="AC51" s="82"/>
    </row>
    <row r="52" spans="1:29" x14ac:dyDescent="0.45">
      <c r="A52" s="81">
        <v>18</v>
      </c>
      <c r="B52" s="76" t="s">
        <v>168</v>
      </c>
      <c r="C52" s="79"/>
      <c r="D52" s="79"/>
      <c r="E52" s="75"/>
      <c r="F52" s="80"/>
      <c r="G52" s="76" t="s">
        <v>168</v>
      </c>
      <c r="H52" s="79"/>
      <c r="I52" s="75"/>
      <c r="J52" s="78"/>
      <c r="K52" s="78" t="s">
        <v>39</v>
      </c>
      <c r="L52" s="78" t="s">
        <v>39</v>
      </c>
      <c r="M52" s="77" t="s">
        <v>45</v>
      </c>
      <c r="N52" s="76" t="s">
        <v>167</v>
      </c>
      <c r="O52" s="75"/>
      <c r="P52" s="76" t="s">
        <v>166</v>
      </c>
      <c r="Q52" s="75"/>
      <c r="R52" s="74">
        <v>2</v>
      </c>
      <c r="S52" s="73" t="s">
        <v>165</v>
      </c>
      <c r="T52" s="64">
        <v>7500</v>
      </c>
      <c r="U52" s="64">
        <v>3.6190000000000002</v>
      </c>
      <c r="V52" s="63">
        <v>3.6190000000000002</v>
      </c>
      <c r="W52" s="62"/>
      <c r="X52" s="61"/>
      <c r="Y52" s="84" t="s">
        <v>164</v>
      </c>
      <c r="Z52" s="83"/>
      <c r="AA52" s="83"/>
      <c r="AB52" s="83"/>
      <c r="AC52" s="82"/>
    </row>
    <row r="53" spans="1:29" x14ac:dyDescent="0.45">
      <c r="A53" s="81">
        <v>19</v>
      </c>
      <c r="B53" s="76" t="s">
        <v>163</v>
      </c>
      <c r="C53" s="79"/>
      <c r="D53" s="79"/>
      <c r="E53" s="75"/>
      <c r="F53" s="80"/>
      <c r="G53" s="76" t="s">
        <v>163</v>
      </c>
      <c r="H53" s="79"/>
      <c r="I53" s="75"/>
      <c r="J53" s="78"/>
      <c r="K53" s="78" t="s">
        <v>39</v>
      </c>
      <c r="L53" s="78" t="s">
        <v>39</v>
      </c>
      <c r="M53" s="77" t="s">
        <v>45</v>
      </c>
      <c r="N53" s="76" t="s">
        <v>162</v>
      </c>
      <c r="O53" s="75"/>
      <c r="P53" s="76" t="s">
        <v>161</v>
      </c>
      <c r="Q53" s="75"/>
      <c r="R53" s="74">
        <v>2</v>
      </c>
      <c r="S53" s="73" t="s">
        <v>88</v>
      </c>
      <c r="T53" s="64">
        <v>24.2</v>
      </c>
      <c r="U53" s="64">
        <v>9.5000000000000001E-2</v>
      </c>
      <c r="V53" s="63">
        <v>9.5000000000000001E-2</v>
      </c>
      <c r="W53" s="62"/>
      <c r="X53" s="61"/>
      <c r="Y53" s="72"/>
      <c r="Z53" s="71"/>
      <c r="AA53" s="71"/>
      <c r="AB53" s="71"/>
      <c r="AC53" s="70"/>
    </row>
    <row r="54" spans="1:29" x14ac:dyDescent="0.45">
      <c r="A54" s="69" t="s">
        <v>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7"/>
      <c r="R54" s="66">
        <f>SUM(R18:R53)</f>
        <v>129</v>
      </c>
      <c r="S54" s="65"/>
      <c r="T54" s="64">
        <f>SUM(T18:T53)</f>
        <v>40545.189999999995</v>
      </c>
      <c r="U54" s="64">
        <f>SUM(U18:U53)</f>
        <v>101.52599999999998</v>
      </c>
      <c r="V54" s="63">
        <v>40545.189999999995</v>
      </c>
      <c r="W54" s="62"/>
      <c r="X54" s="61"/>
      <c r="Y54" s="60" t="s">
        <v>111</v>
      </c>
      <c r="Z54" s="59"/>
      <c r="AA54" s="59"/>
      <c r="AB54" s="59"/>
      <c r="AC54" s="58"/>
    </row>
  </sheetData>
  <mergeCells count="306">
    <mergeCell ref="Y50:AC50"/>
    <mergeCell ref="Y51:AC51"/>
    <mergeCell ref="Y52:AC52"/>
    <mergeCell ref="Y53:AC53"/>
    <mergeCell ref="Y54:AC54"/>
    <mergeCell ref="Y37:AC37"/>
    <mergeCell ref="Y38:AC38"/>
    <mergeCell ref="Y43:AC43"/>
    <mergeCell ref="Y44:AC44"/>
    <mergeCell ref="Y45:AC45"/>
    <mergeCell ref="V46:X46"/>
    <mergeCell ref="V47:X47"/>
    <mergeCell ref="Y46:AC46"/>
    <mergeCell ref="Y47:AC47"/>
    <mergeCell ref="Y48:AC48"/>
    <mergeCell ref="Y49:AC49"/>
    <mergeCell ref="R54:S54"/>
    <mergeCell ref="V35:X35"/>
    <mergeCell ref="V36:X36"/>
    <mergeCell ref="Y36:AC36"/>
    <mergeCell ref="V48:X48"/>
    <mergeCell ref="V49:X49"/>
    <mergeCell ref="V50:X50"/>
    <mergeCell ref="V51:X51"/>
    <mergeCell ref="V52:X52"/>
    <mergeCell ref="V53:X53"/>
    <mergeCell ref="V54:X54"/>
    <mergeCell ref="V37:X37"/>
    <mergeCell ref="V38:X38"/>
    <mergeCell ref="V39:X39"/>
    <mergeCell ref="V40:X40"/>
    <mergeCell ref="V41:X41"/>
    <mergeCell ref="V42:X42"/>
    <mergeCell ref="V43:X43"/>
    <mergeCell ref="V44:X44"/>
    <mergeCell ref="V45:X45"/>
    <mergeCell ref="Y39:AC39"/>
    <mergeCell ref="Y40:AC40"/>
    <mergeCell ref="Y41:AC41"/>
    <mergeCell ref="Y42:AC42"/>
    <mergeCell ref="N53:O53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G48:I48"/>
    <mergeCell ref="G49:I49"/>
    <mergeCell ref="G50:I50"/>
    <mergeCell ref="G51:I51"/>
    <mergeCell ref="G52:I52"/>
    <mergeCell ref="G53:I53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A54:Q5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G35:I35"/>
    <mergeCell ref="G36:I36"/>
    <mergeCell ref="G37:I37"/>
    <mergeCell ref="G38:I38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G29:I29"/>
    <mergeCell ref="G30:I30"/>
    <mergeCell ref="G31:I31"/>
    <mergeCell ref="G32:I32"/>
    <mergeCell ref="A2:B5"/>
    <mergeCell ref="A8:AB8"/>
    <mergeCell ref="A9:AB11"/>
    <mergeCell ref="A13:D13"/>
    <mergeCell ref="A14:D14"/>
    <mergeCell ref="A15:D15"/>
    <mergeCell ref="A16:D16"/>
    <mergeCell ref="N31:O31"/>
    <mergeCell ref="N32:O32"/>
    <mergeCell ref="N33:O33"/>
    <mergeCell ref="N34:O34"/>
    <mergeCell ref="B33:E33"/>
    <mergeCell ref="B34:E34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P19:Q19"/>
    <mergeCell ref="P20:Q20"/>
    <mergeCell ref="P21:Q21"/>
    <mergeCell ref="P22:Q22"/>
    <mergeCell ref="G33:I33"/>
    <mergeCell ref="G34:I34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P32:Q32"/>
    <mergeCell ref="P33:Q33"/>
    <mergeCell ref="P34:Q34"/>
    <mergeCell ref="Q15:S15"/>
    <mergeCell ref="R17:S17"/>
    <mergeCell ref="T13:U13"/>
    <mergeCell ref="T14:U14"/>
    <mergeCell ref="T15:U15"/>
    <mergeCell ref="T16:U16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O14:S14"/>
    <mergeCell ref="O15:P15"/>
    <mergeCell ref="O16:S16"/>
    <mergeCell ref="P17:Q17"/>
    <mergeCell ref="P18:Q18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9:X29"/>
    <mergeCell ref="V30:X30"/>
    <mergeCell ref="V31:X31"/>
    <mergeCell ref="V32:X32"/>
    <mergeCell ref="V33:X33"/>
    <mergeCell ref="V34:X34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AL18:AO18"/>
    <mergeCell ref="AL20:AM20"/>
    <mergeCell ref="AN20:AO20"/>
    <mergeCell ref="AL21:AM21"/>
    <mergeCell ref="AN21:AO21"/>
    <mergeCell ref="AL22:AM22"/>
    <mergeCell ref="AL23:AM23"/>
    <mergeCell ref="AL24:AM24"/>
    <mergeCell ref="AL25:AM25"/>
    <mergeCell ref="AN34:AO34"/>
    <mergeCell ref="AN35:AO35"/>
    <mergeCell ref="AN36:AO36"/>
    <mergeCell ref="AN37:AO37"/>
    <mergeCell ref="Y32:AC32"/>
    <mergeCell ref="Y33:AC33"/>
    <mergeCell ref="Y34:AC34"/>
    <mergeCell ref="Y35:AC35"/>
    <mergeCell ref="AK19:AK38"/>
    <mergeCell ref="AL26:AM26"/>
    <mergeCell ref="AL27:AM27"/>
    <mergeCell ref="AL28:AM28"/>
    <mergeCell ref="AL29:AM29"/>
    <mergeCell ref="AL30:AM30"/>
    <mergeCell ref="AL31:AM31"/>
    <mergeCell ref="AL32:AM32"/>
    <mergeCell ref="AL33:AM33"/>
    <mergeCell ref="AL34:AM34"/>
    <mergeCell ref="AL38:AM38"/>
    <mergeCell ref="AN38:AO38"/>
    <mergeCell ref="AD18:AI18"/>
    <mergeCell ref="AL19:AM19"/>
    <mergeCell ref="AN19:AO19"/>
    <mergeCell ref="AD31:AI31"/>
    <mergeCell ref="AH38:AI38"/>
    <mergeCell ref="AH36:AI36"/>
    <mergeCell ref="AL35:AM35"/>
    <mergeCell ref="AL36:AM36"/>
    <mergeCell ref="AL37:AM37"/>
    <mergeCell ref="AN22:AO22"/>
    <mergeCell ref="AN23:AO23"/>
    <mergeCell ref="AN24:AO24"/>
    <mergeCell ref="AN25:AO25"/>
    <mergeCell ref="AN26:AO26"/>
    <mergeCell ref="AN27:AO27"/>
    <mergeCell ref="AN28:AO28"/>
    <mergeCell ref="AN29:AO29"/>
    <mergeCell ref="AN30:AO30"/>
    <mergeCell ref="AN31:AO31"/>
    <mergeCell ref="AN32:AO32"/>
    <mergeCell ref="AN33:AO33"/>
  </mergeCells>
  <phoneticPr fontId="3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노블코코 해운대</cp:lastModifiedBy>
  <dcterms:created xsi:type="dcterms:W3CDTF">2026-05-13T03:26:32Z</dcterms:created>
  <dcterms:modified xsi:type="dcterms:W3CDTF">2026-05-13T04:20:07Z</dcterms:modified>
</cp:coreProperties>
</file>