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napda\OneDrive\문서\네이트온 받은 파일\네번째\"/>
    </mc:Choice>
  </mc:AlternateContent>
  <xr:revisionPtr revIDLastSave="0" documentId="13_ncr:1_{AA9F8221-7992-4010-B492-B202EC8222D5}" xr6:coauthVersionLast="47" xr6:coauthVersionMax="47" xr10:uidLastSave="{00000000-0000-0000-0000-000000000000}"/>
  <bookViews>
    <workbookView xWindow="1898" yWindow="2430" windowWidth="27937" windowHeight="1845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9" i="1" l="1"/>
  <c r="T59" i="1"/>
  <c r="U59" i="1"/>
  <c r="V59" i="1"/>
</calcChain>
</file>

<file path=xl/sharedStrings.xml><?xml version="1.0" encoding="utf-8"?>
<sst xmlns="http://schemas.openxmlformats.org/spreadsheetml/2006/main" count="345" uniqueCount="192">
  <si>
    <t>CONTAINER LOAD PLAN</t>
  </si>
  <si>
    <t xml:space="preserve">CLP 번호 : </t>
  </si>
  <si>
    <t>LINE</t>
  </si>
  <si>
    <t>VESSEL / VOY</t>
  </si>
  <si>
    <t>작업 CFS</t>
  </si>
  <si>
    <t>No.</t>
  </si>
  <si>
    <t>TOTAL</t>
  </si>
  <si>
    <t>House B/L</t>
  </si>
  <si>
    <t>FBSGN260919</t>
  </si>
  <si>
    <t>FBSGN260970</t>
  </si>
  <si>
    <t>FBSGN260983</t>
  </si>
  <si>
    <t>페어콘라인㈜</t>
  </si>
  <si>
    <t>서울특별시 중구 을지로 16(을지로 1가, 백남빌딩 11층)</t>
  </si>
  <si>
    <t>ATAO2600033-3</t>
  </si>
  <si>
    <t>CHUN KYUNG SHIPPING CO.,LTD.</t>
  </si>
  <si>
    <t>SKY ORION  / 2606S</t>
  </si>
  <si>
    <t>페어허브물류 주식회사</t>
  </si>
  <si>
    <t>DEST</t>
  </si>
  <si>
    <t>Booking No</t>
  </si>
  <si>
    <t xml:space="preserve">P.O.D : </t>
  </si>
  <si>
    <t>HO CHI MINH CITY, VIETNAM</t>
  </si>
  <si>
    <t>차수</t>
  </si>
  <si>
    <t>H/B</t>
  </si>
  <si>
    <t/>
  </si>
  <si>
    <t>SIZE</t>
  </si>
  <si>
    <t>ETD/ETA</t>
  </si>
  <si>
    <t>창고담당자</t>
  </si>
  <si>
    <t>E/P</t>
  </si>
  <si>
    <t>N</t>
  </si>
  <si>
    <t>실화주</t>
  </si>
  <si>
    <t>후지쿠라(한큐한신)**최상단적재**</t>
  </si>
  <si>
    <t>대양테크</t>
  </si>
  <si>
    <t>노브랜드</t>
  </si>
  <si>
    <t>20DV</t>
  </si>
  <si>
    <t>2026-05-12</t>
  </si>
  <si>
    <t>정경일대리님</t>
  </si>
  <si>
    <t xml:space="preserve">화주 </t>
  </si>
  <si>
    <t xml:space="preserve">한큐한신 최인영 / </t>
  </si>
  <si>
    <t xml:space="preserve">영천항운  / </t>
  </si>
  <si>
    <t xml:space="preserve">KMTC LOGISTICS / </t>
  </si>
  <si>
    <t>2026-05-17</t>
  </si>
  <si>
    <t>Q'TY</t>
  </si>
  <si>
    <t>PL</t>
  </si>
  <si>
    <t>PK</t>
  </si>
  <si>
    <t>M.BOOKING NO. :</t>
  </si>
  <si>
    <t>CNTR / SEAL NO</t>
  </si>
  <si>
    <t>CY 반입지</t>
  </si>
  <si>
    <t>비고</t>
  </si>
  <si>
    <t>G. W/T</t>
  </si>
  <si>
    <t>CFS CBM</t>
  </si>
  <si>
    <t>신유경</t>
  </si>
  <si>
    <t xml:space="preserve">TEL </t>
  </si>
  <si>
    <t>PU2607675</t>
  </si>
  <si>
    <t xml:space="preserve"> / </t>
  </si>
  <si>
    <t>신감만 한국허치슨(주)CY (03012010)</t>
  </si>
  <si>
    <t>접안:2026/05/11 14:00:00</t>
  </si>
  <si>
    <t>ABOUT</t>
  </si>
  <si>
    <t>:</t>
  </si>
  <si>
    <t>02-772-2602</t>
  </si>
  <si>
    <t>REMARK</t>
  </si>
  <si>
    <t>**최상단적재**/ 110*110*77,110*110*200X2,110*110*36</t>
  </si>
  <si>
    <t>110*110*145X6, 110*110*167X2</t>
  </si>
  <si>
    <t>VGM :                   KGS</t>
  </si>
  <si>
    <t>2026-05-07</t>
  </si>
  <si>
    <t>1/1</t>
  </si>
  <si>
    <r>
      <rPr>
        <sz val="11"/>
        <color rgb="FF000000"/>
        <rFont val="돋움"/>
        <family val="3"/>
        <charset val="129"/>
      </rPr>
      <t>두개씩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나란히</t>
    </r>
    <r>
      <rPr>
        <sz val="11"/>
        <color rgb="FF000000"/>
        <rFont val="Calibri"/>
        <family val="2"/>
      </rPr>
      <t xml:space="preserve"> 8plt </t>
    </r>
    <r>
      <rPr>
        <sz val="11"/>
        <color rgb="FF000000"/>
        <rFont val="돋움"/>
        <family val="3"/>
        <charset val="129"/>
      </rPr>
      <t>깜</t>
    </r>
    <phoneticPr fontId="32" type="noConversion"/>
  </si>
  <si>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 xml:space="preserve"> 139cbm </t>
    </r>
    <r>
      <rPr>
        <sz val="11"/>
        <color rgb="FF000000"/>
        <rFont val="돋움"/>
        <family val="3"/>
        <charset val="129"/>
      </rPr>
      <t>중</t>
    </r>
    <r>
      <rPr>
        <sz val="11"/>
        <color rgb="FF000000"/>
        <rFont val="Calibri"/>
        <family val="2"/>
      </rPr>
      <t xml:space="preserve"> 30cbm </t>
    </r>
    <r>
      <rPr>
        <sz val="11"/>
        <color rgb="FF000000"/>
        <rFont val="돋움"/>
        <family val="3"/>
        <charset val="129"/>
      </rPr>
      <t>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입고됨</t>
    </r>
  </si>
  <si>
    <r>
      <rPr>
        <sz val="11"/>
        <color rgb="FF000000"/>
        <rFont val="돋움"/>
        <family val="3"/>
        <charset val="129"/>
      </rPr>
      <t>그런데</t>
    </r>
    <r>
      <rPr>
        <sz val="11"/>
        <color rgb="FF000000"/>
        <rFont val="Calibri"/>
        <family val="2"/>
      </rPr>
      <t xml:space="preserve"> 30cbm </t>
    </r>
    <r>
      <rPr>
        <sz val="11"/>
        <color rgb="FF000000"/>
        <rFont val="돋움"/>
        <family val="3"/>
        <charset val="129"/>
      </rPr>
      <t>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분할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입고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같은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부킹넘버에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몇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개만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입고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된것이라</t>
    </r>
    <r>
      <rPr>
        <sz val="11"/>
        <color rgb="FF000000"/>
        <rFont val="Calibri"/>
        <family val="2"/>
      </rPr>
      <t xml:space="preserve"> 20 </t>
    </r>
    <r>
      <rPr>
        <sz val="11"/>
        <color rgb="FF000000"/>
        <rFont val="돋움"/>
        <family val="3"/>
        <charset val="129"/>
      </rPr>
      <t>컨으로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짜기엔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애매함</t>
    </r>
  </si>
  <si>
    <r>
      <rPr>
        <sz val="11"/>
        <color rgb="FF000000"/>
        <rFont val="돋움"/>
        <family val="3"/>
        <charset val="129"/>
      </rPr>
      <t>그래서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입고된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걸로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몰지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않고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내맘대로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짬</t>
    </r>
    <r>
      <rPr>
        <sz val="11"/>
        <color rgb="FF000000"/>
        <rFont val="Calibri"/>
        <family val="2"/>
      </rPr>
      <t xml:space="preserve"> 40x2, 20x1</t>
    </r>
  </si>
  <si>
    <r>
      <t>20</t>
    </r>
    <r>
      <rPr>
        <sz val="11"/>
        <color rgb="FF000000"/>
        <rFont val="돋움"/>
        <family val="3"/>
        <charset val="129"/>
      </rPr>
      <t>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먼저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짜기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쉬우니까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먼저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짬</t>
    </r>
  </si>
  <si>
    <r>
      <rPr>
        <sz val="11"/>
        <color rgb="FF000000"/>
        <rFont val="돋움"/>
        <family val="3"/>
        <charset val="129"/>
      </rPr>
      <t>높이</t>
    </r>
    <r>
      <rPr>
        <sz val="11"/>
        <color rgb="FF000000"/>
        <rFont val="Calibri"/>
        <family val="2"/>
      </rPr>
      <t xml:space="preserve"> 200cm </t>
    </r>
    <r>
      <rPr>
        <sz val="11"/>
        <color rgb="FF000000"/>
        <rFont val="돋움"/>
        <family val="3"/>
        <charset val="129"/>
      </rPr>
      <t>는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단으로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넣고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나머지</t>
    </r>
    <r>
      <rPr>
        <sz val="11"/>
        <color rgb="FF000000"/>
        <rFont val="Calibri"/>
        <family val="2"/>
      </rPr>
      <t xml:space="preserve"> 2pl</t>
    </r>
    <r>
      <rPr>
        <sz val="11"/>
        <color rgb="FF000000"/>
        <rFont val="돋움"/>
        <family val="3"/>
        <charset val="129"/>
      </rPr>
      <t>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대양테크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쌓음</t>
    </r>
    <phoneticPr fontId="32" type="noConversion"/>
  </si>
  <si>
    <r>
      <rPr>
        <sz val="11"/>
        <color rgb="FF000000"/>
        <rFont val="돋움"/>
        <family val="3"/>
        <charset val="129"/>
      </rPr>
      <t>위에</t>
    </r>
    <r>
      <rPr>
        <sz val="11"/>
        <color rgb="FF000000"/>
        <rFont val="Calibri"/>
        <family val="2"/>
      </rPr>
      <t xml:space="preserve"> 12pl </t>
    </r>
    <r>
      <rPr>
        <sz val="11"/>
        <color rgb="FF000000"/>
        <rFont val="돋움"/>
        <family val="3"/>
        <charset val="129"/>
      </rPr>
      <t>먼저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채우면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컨의</t>
    </r>
    <r>
      <rPr>
        <sz val="11"/>
        <color rgb="FF000000"/>
        <rFont val="Calibri"/>
        <family val="2"/>
      </rPr>
      <t xml:space="preserve"> cbm  40cmx234cmx234cm=2.19 cbm</t>
    </r>
    <r>
      <rPr>
        <sz val="11"/>
        <color rgb="FF000000"/>
        <rFont val="돋움"/>
        <family val="3"/>
        <charset val="129"/>
      </rPr>
      <t>이라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여기컨에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넣음</t>
    </r>
    <phoneticPr fontId="32" type="noConversion"/>
  </si>
  <si>
    <t>1100*1100*1200mm</t>
  </si>
  <si>
    <t xml:space="preserve">효성/김소정 / </t>
  </si>
  <si>
    <t>효성</t>
  </si>
  <si>
    <t>FBSGN261016</t>
  </si>
  <si>
    <r>
      <rPr>
        <sz val="11"/>
        <color rgb="FF000000"/>
        <rFont val="돋움"/>
        <family val="3"/>
        <charset val="129"/>
      </rPr>
      <t>무게가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가볍기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때문에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이것보다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무거운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아무데나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올리면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됨</t>
    </r>
    <phoneticPr fontId="32" type="noConversion"/>
  </si>
  <si>
    <t>*상단* / 85*65*102</t>
  </si>
  <si>
    <t xml:space="preserve">제이더블유스페셜로직스 / </t>
  </si>
  <si>
    <t>한국코코</t>
  </si>
  <si>
    <t>FBSGN260995</t>
  </si>
  <si>
    <t>CT</t>
  </si>
  <si>
    <t xml:space="preserve">주식회사 로지싱크 / </t>
  </si>
  <si>
    <t>FTN</t>
  </si>
  <si>
    <t>FBSGN260987</t>
  </si>
  <si>
    <t>LSS PP</t>
  </si>
  <si>
    <t xml:space="preserve">KTL 조이슬 / </t>
  </si>
  <si>
    <t>HP&amp;C</t>
  </si>
  <si>
    <t>FBSGN260986</t>
  </si>
  <si>
    <t>134*113*115</t>
  </si>
  <si>
    <t xml:space="preserve">팍트라 박혜리  / </t>
  </si>
  <si>
    <t>한국베이스프</t>
  </si>
  <si>
    <t>FBSGN260977</t>
  </si>
  <si>
    <t>117x117x118(3)</t>
  </si>
  <si>
    <t xml:space="preserve">팍트라 박혜리 / </t>
  </si>
  <si>
    <t>롯데케미칼</t>
  </si>
  <si>
    <t>FBSGN260922</t>
  </si>
  <si>
    <t>87*87*55</t>
  </si>
  <si>
    <t xml:space="preserve">원웨이 민경신 / </t>
  </si>
  <si>
    <t>KOS LIMITED</t>
  </si>
  <si>
    <t>FBSGN261013</t>
  </si>
  <si>
    <r>
      <rPr>
        <sz val="11"/>
        <color rgb="FF000000"/>
        <rFont val="돋움"/>
        <family val="3"/>
        <charset val="129"/>
      </rPr>
      <t>상단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필수라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밑에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무거운</t>
    </r>
    <r>
      <rPr>
        <sz val="11"/>
        <color rgb="FF000000"/>
        <rFont val="Calibri"/>
        <family val="2"/>
      </rPr>
      <t xml:space="preserve"> HK PMC, </t>
    </r>
    <r>
      <rPr>
        <sz val="11"/>
        <color rgb="FF000000"/>
        <rFont val="돋움"/>
        <family val="3"/>
        <charset val="129"/>
      </rPr>
      <t>팍스모리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대명물산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롯데케미칼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깔고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요걸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올림</t>
    </r>
    <phoneticPr fontId="32" type="noConversion"/>
  </si>
  <si>
    <t>*모두상단적재필수/사진* 95*95*100x4, 104*104*100x2, 104*104*60</t>
  </si>
  <si>
    <t>BX</t>
  </si>
  <si>
    <t>FBSGN261012</t>
  </si>
  <si>
    <t xml:space="preserve">(주)바론웨이/찬의 / </t>
  </si>
  <si>
    <t>윤하</t>
  </si>
  <si>
    <t>FBSGN261002</t>
  </si>
  <si>
    <t>130*126*77</t>
  </si>
  <si>
    <t xml:space="preserve">우리글로비스 / </t>
  </si>
  <si>
    <t>에이펙스</t>
  </si>
  <si>
    <t>FBSGN261000</t>
  </si>
  <si>
    <t>150*80*72</t>
  </si>
  <si>
    <t>에이펙스 (APEX)</t>
  </si>
  <si>
    <t>FBSGN260999</t>
  </si>
  <si>
    <t xml:space="preserve">H PLUS 이지효 / </t>
  </si>
  <si>
    <t>지브이</t>
  </si>
  <si>
    <t>FBSGN260994</t>
  </si>
  <si>
    <t>*팔렛작업요청/팔렛작업료5.5/pl화주청구  110x110x121(1) , 110x110x123(1)</t>
  </si>
  <si>
    <t xml:space="preserve">한생해운항공 / </t>
  </si>
  <si>
    <t>레이어</t>
  </si>
  <si>
    <t>FBSGN260991</t>
  </si>
  <si>
    <t>110x110x156(2)</t>
  </si>
  <si>
    <t xml:space="preserve">선진 광주 김지우 / </t>
  </si>
  <si>
    <t>대명물산</t>
  </si>
  <si>
    <t>FBSGN260973</t>
  </si>
  <si>
    <t>110*110*140</t>
  </si>
  <si>
    <t xml:space="preserve">노아툼 / </t>
  </si>
  <si>
    <t>팍스모리</t>
  </si>
  <si>
    <t>FBSGN260968</t>
  </si>
  <si>
    <t>120x117x158(1)</t>
  </si>
  <si>
    <t xml:space="preserve">상원로지스틱  / </t>
  </si>
  <si>
    <t>HK PMC</t>
  </si>
  <si>
    <t>FBSGN260965</t>
  </si>
  <si>
    <r>
      <rPr>
        <sz val="11"/>
        <color rgb="FF000000"/>
        <rFont val="돋움"/>
        <family val="3"/>
        <charset val="129"/>
      </rPr>
      <t>자체다단으로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요청했기때문에</t>
    </r>
    <r>
      <rPr>
        <sz val="11"/>
        <color rgb="FF000000"/>
        <rFont val="Calibri"/>
        <family val="2"/>
      </rPr>
      <t xml:space="preserve"> 98kg </t>
    </r>
    <r>
      <rPr>
        <sz val="11"/>
        <color rgb="FF000000"/>
        <rFont val="돋움"/>
        <family val="3"/>
        <charset val="129"/>
      </rPr>
      <t>팔렛의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가로길이로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나란히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이단으로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쌓음</t>
    </r>
    <phoneticPr fontId="32" type="noConversion"/>
  </si>
  <si>
    <t>*자체다단/ 134*98*100</t>
  </si>
  <si>
    <t xml:space="preserve">KGL  / </t>
  </si>
  <si>
    <t>글로텍</t>
  </si>
  <si>
    <t>FBSGN261020</t>
  </si>
  <si>
    <t xml:space="preserve">영천항운 / </t>
  </si>
  <si>
    <t>서우트리밍</t>
  </si>
  <si>
    <t>FBSGN261006</t>
  </si>
  <si>
    <t>2PL-110*110*40, 110*55*50</t>
  </si>
  <si>
    <t>RO</t>
  </si>
  <si>
    <t xml:space="preserve">리더스 김정양 / </t>
  </si>
  <si>
    <t>TMS KOREA</t>
  </si>
  <si>
    <t>FBSGN261005</t>
  </si>
  <si>
    <t>1100*1100*1000</t>
  </si>
  <si>
    <t xml:space="preserve">해영글로벌로지스틱스(주)/찬의 / </t>
  </si>
  <si>
    <t>반석인더스트리즈</t>
  </si>
  <si>
    <t>FBSGN260996</t>
  </si>
  <si>
    <t>이로실업 (C&amp;H VINA)</t>
  </si>
  <si>
    <t>FBSGN260993</t>
  </si>
  <si>
    <t xml:space="preserve">유수로지스틱스 / </t>
  </si>
  <si>
    <t>성진 레더뱅크</t>
  </si>
  <si>
    <t>FBSGN260992</t>
  </si>
  <si>
    <t>성진아이앤씨</t>
  </si>
  <si>
    <t>FBSGN260985</t>
  </si>
  <si>
    <t xml:space="preserve">한국일본통운(주) / </t>
  </si>
  <si>
    <t>한일</t>
  </si>
  <si>
    <t>FBSGN260966</t>
  </si>
  <si>
    <t>BL</t>
  </si>
  <si>
    <t xml:space="preserve">카고프렌즈  / </t>
  </si>
  <si>
    <t>우양통상</t>
  </si>
  <si>
    <t>FBSGN260963</t>
  </si>
  <si>
    <t xml:space="preserve">카고러쉬 / </t>
  </si>
  <si>
    <t>비바상사</t>
  </si>
  <si>
    <t>FBSGN260927</t>
  </si>
  <si>
    <t xml:space="preserve">이앤아이해운항공 / </t>
  </si>
  <si>
    <t>보광캡</t>
  </si>
  <si>
    <t>FBSGN261019</t>
  </si>
  <si>
    <t>110*110*130</t>
  </si>
  <si>
    <t>영천항운</t>
  </si>
  <si>
    <t>FBSGN261015</t>
  </si>
  <si>
    <r>
      <rPr>
        <sz val="11"/>
        <color rgb="FF000000"/>
        <rFont val="돋움"/>
        <family val="3"/>
        <charset val="129"/>
      </rPr>
      <t>무게가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화물에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가볍기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때문에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제한적이지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않음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아무데나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올리면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됨</t>
    </r>
    <phoneticPr fontId="32" type="noConversion"/>
  </si>
  <si>
    <t>2560*420*330</t>
  </si>
  <si>
    <t>WC</t>
  </si>
  <si>
    <t xml:space="preserve">연합국제물류주식회사/찬의 / </t>
  </si>
  <si>
    <t>엘엔와이무역</t>
  </si>
  <si>
    <t>FBSGN261014</t>
  </si>
  <si>
    <t>177*157*124</t>
  </si>
  <si>
    <t xml:space="preserve">TH로지스틱스  / </t>
  </si>
  <si>
    <t>한성정밀</t>
  </si>
  <si>
    <t>FBSGN260979</t>
  </si>
  <si>
    <t>1500X750X950</t>
  </si>
  <si>
    <t xml:space="preserve">에스프리트물류 주식회사 / </t>
  </si>
  <si>
    <t>동해산업</t>
  </si>
  <si>
    <t>FBSGN260974</t>
  </si>
  <si>
    <t>110*110*128, 110*110*112</t>
  </si>
  <si>
    <t xml:space="preserve">카고러쉬 조수연 / </t>
  </si>
  <si>
    <t>카고러쉬</t>
  </si>
  <si>
    <t>FBSGN260958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</si>
</sst>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rgb="FF000000"/>
      <name val="Calibri"/>
    </font>
    <font>
      <sz val="9.75"/>
      <color rgb="FF000000"/>
      <name val="Times New Roman"/>
    </font>
    <font>
      <sz val="9.75"/>
      <color rgb="FF008B8B"/>
      <name val="Times New Roman"/>
    </font>
    <font>
      <b/>
      <sz val="16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7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sz val="7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Calibri"/>
      <family val="2"/>
    </font>
    <font>
      <sz val="11"/>
      <color rgb="FF000000"/>
      <name val="돋움"/>
      <family val="3"/>
      <charset val="129"/>
    </font>
  </fonts>
  <fills count="33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solid">
        <fgColor rgb="FFF0F0F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2">
    <xf numFmtId="0" fontId="0" fillId="0" borderId="0">
      <alignment vertical="center"/>
    </xf>
    <xf numFmtId="0" fontId="33" fillId="32" borderId="33">
      <alignment vertical="center"/>
    </xf>
  </cellStyleXfs>
  <cellXfs count="51">
    <xf numFmtId="0" fontId="0" fillId="0" borderId="0" xfId="0">
      <alignment vertical="center"/>
    </xf>
    <xf numFmtId="0" fontId="5" fillId="6" borderId="5" xfId="0" applyFont="1" applyFill="1" applyBorder="1" applyAlignment="1">
      <alignment horizontal="center" vertical="center" wrapText="1"/>
    </xf>
    <xf numFmtId="3" fontId="7" fillId="8" borderId="7" xfId="0" applyNumberFormat="1" applyFont="1" applyFill="1" applyBorder="1" applyAlignment="1">
      <alignment horizontal="center" vertical="center" wrapText="1"/>
    </xf>
    <xf numFmtId="0" fontId="8" fillId="9" borderId="9" xfId="0" applyFont="1" applyFill="1" applyBorder="1" applyAlignment="1">
      <alignment horizontal="center" vertical="center" wrapText="1"/>
    </xf>
    <xf numFmtId="0" fontId="15" fillId="16" borderId="16" xfId="0" applyFont="1" applyFill="1" applyBorder="1" applyAlignment="1">
      <alignment horizontal="center" vertical="center" wrapText="1"/>
    </xf>
    <xf numFmtId="0" fontId="16" fillId="17" borderId="17" xfId="0" applyFont="1" applyFill="1" applyBorder="1" applyAlignment="1">
      <alignment horizontal="right" vertical="center" wrapText="1"/>
    </xf>
    <xf numFmtId="0" fontId="17" fillId="18" borderId="18" xfId="0" applyFont="1" applyFill="1" applyBorder="1" applyAlignment="1">
      <alignment horizontal="center" vertical="center" wrapText="1"/>
    </xf>
    <xf numFmtId="0" fontId="18" fillId="19" borderId="19" xfId="0" applyFont="1" applyFill="1" applyBorder="1" applyAlignment="1">
      <alignment horizontal="center" vertical="center" wrapText="1"/>
    </xf>
    <xf numFmtId="3" fontId="22" fillId="23" borderId="23" xfId="0" applyNumberFormat="1" applyFont="1" applyFill="1" applyBorder="1" applyAlignment="1">
      <alignment horizontal="right" vertical="center" wrapText="1"/>
    </xf>
    <xf numFmtId="49" fontId="23" fillId="24" borderId="24" xfId="0" applyNumberFormat="1" applyFont="1" applyFill="1" applyBorder="1" applyAlignment="1">
      <alignment horizontal="center" vertical="center" wrapText="1"/>
    </xf>
    <xf numFmtId="4" fontId="25" fillId="26" borderId="26" xfId="0" applyNumberFormat="1" applyFont="1" applyFill="1" applyBorder="1" applyAlignment="1">
      <alignment horizontal="right" vertical="center" wrapText="1"/>
    </xf>
    <xf numFmtId="0" fontId="33" fillId="0" borderId="0" xfId="0" applyFont="1">
      <alignment vertical="center"/>
    </xf>
    <xf numFmtId="0" fontId="33" fillId="32" borderId="33" xfId="1">
      <alignment vertical="center"/>
    </xf>
    <xf numFmtId="4" fontId="25" fillId="26" borderId="26" xfId="0" applyNumberFormat="1" applyFont="1" applyFill="1" applyBorder="1" applyAlignment="1">
      <alignment horizontal="right" vertical="center" wrapText="1"/>
    </xf>
    <xf numFmtId="0" fontId="28" fillId="29" borderId="29" xfId="0" applyFont="1" applyFill="1" applyBorder="1" applyAlignment="1">
      <alignment horizontal="center" vertical="center" wrapText="1"/>
    </xf>
    <xf numFmtId="49" fontId="26" fillId="27" borderId="27" xfId="0" applyNumberFormat="1" applyFont="1" applyFill="1" applyBorder="1" applyAlignment="1">
      <alignment horizontal="left" vertical="center" wrapText="1"/>
    </xf>
    <xf numFmtId="0" fontId="8" fillId="9" borderId="9" xfId="0" applyFont="1" applyFill="1" applyBorder="1" applyAlignment="1">
      <alignment horizontal="center" vertical="center" wrapText="1"/>
    </xf>
    <xf numFmtId="49" fontId="29" fillId="30" borderId="30" xfId="0" applyNumberFormat="1" applyFont="1" applyFill="1" applyBorder="1" applyAlignment="1">
      <alignment horizontal="left" vertical="center" wrapText="1"/>
    </xf>
    <xf numFmtId="0" fontId="30" fillId="31" borderId="31" xfId="0" applyFont="1" applyFill="1" applyBorder="1" applyAlignment="1">
      <alignment horizontal="left" vertical="center" wrapText="1"/>
    </xf>
    <xf numFmtId="49" fontId="21" fillId="22" borderId="22" xfId="0" applyNumberFormat="1" applyFont="1" applyFill="1" applyBorder="1" applyAlignment="1">
      <alignment horizontal="center" vertical="center" wrapText="1"/>
    </xf>
    <xf numFmtId="0" fontId="24" fillId="25" borderId="25" xfId="0" applyFont="1" applyFill="1" applyBorder="1" applyAlignment="1">
      <alignment horizontal="left" vertical="center" wrapText="1"/>
    </xf>
    <xf numFmtId="0" fontId="19" fillId="20" borderId="20" xfId="0" applyFont="1" applyFill="1" applyBorder="1" applyAlignment="1">
      <alignment horizontal="center" vertical="center" wrapText="1"/>
    </xf>
    <xf numFmtId="49" fontId="9" fillId="10" borderId="10" xfId="0" applyNumberFormat="1" applyFont="1" applyFill="1" applyBorder="1" applyAlignment="1">
      <alignment horizontal="left" vertical="center" wrapText="1"/>
    </xf>
    <xf numFmtId="49" fontId="20" fillId="21" borderId="21" xfId="0" applyNumberFormat="1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49" fontId="14" fillId="15" borderId="15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1" fillId="32" borderId="33" xfId="0" applyFont="1" applyFill="1" applyBorder="1" applyAlignment="1">
      <alignment horizontal="left" vertical="top" wrapText="1"/>
    </xf>
    <xf numFmtId="0" fontId="4" fillId="5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49" fontId="10" fillId="11" borderId="11" xfId="0" applyNumberFormat="1" applyFont="1" applyFill="1" applyBorder="1" applyAlignment="1">
      <alignment horizontal="left" vertical="center" wrapText="1"/>
    </xf>
    <xf numFmtId="49" fontId="11" fillId="12" borderId="12" xfId="0" applyNumberFormat="1" applyFont="1" applyFill="1" applyBorder="1" applyAlignment="1">
      <alignment horizontal="left" vertical="top" wrapText="1"/>
    </xf>
    <xf numFmtId="49" fontId="12" fillId="13" borderId="13" xfId="0" applyNumberFormat="1" applyFont="1" applyFill="1" applyBorder="1" applyAlignment="1">
      <alignment horizontal="left" vertical="center" wrapText="1"/>
    </xf>
    <xf numFmtId="49" fontId="13" fillId="14" borderId="14" xfId="0" applyNumberFormat="1" applyFont="1" applyFill="1" applyBorder="1" applyAlignment="1">
      <alignment horizontal="left" vertical="center" wrapText="1"/>
    </xf>
    <xf numFmtId="0" fontId="27" fillId="28" borderId="28" xfId="0" applyFont="1" applyFill="1" applyBorder="1" applyAlignment="1">
      <alignment horizontal="left" vertical="center" wrapText="1"/>
    </xf>
    <xf numFmtId="49" fontId="18" fillId="32" borderId="32" xfId="0" applyNumberFormat="1" applyFont="1" applyFill="1" applyBorder="1" applyAlignment="1">
      <alignment horizontal="left" vertical="center" wrapText="1"/>
    </xf>
    <xf numFmtId="4" fontId="7" fillId="32" borderId="32" xfId="0" applyNumberFormat="1" applyFont="1" applyFill="1" applyBorder="1" applyAlignment="1">
      <alignment horizontal="right" vertical="center" wrapText="1"/>
    </xf>
    <xf numFmtId="4" fontId="7" fillId="32" borderId="32" xfId="0" applyNumberFormat="1" applyFont="1" applyFill="1" applyBorder="1" applyAlignment="1">
      <alignment horizontal="right" vertical="center" wrapText="1"/>
    </xf>
    <xf numFmtId="49" fontId="7" fillId="32" borderId="32" xfId="0" applyNumberFormat="1" applyFont="1" applyFill="1" applyBorder="1" applyAlignment="1">
      <alignment horizontal="center" vertical="center" wrapText="1"/>
    </xf>
    <xf numFmtId="3" fontId="7" fillId="32" borderId="32" xfId="0" applyNumberFormat="1" applyFont="1" applyFill="1" applyBorder="1" applyAlignment="1">
      <alignment horizontal="right" vertical="center" wrapText="1"/>
    </xf>
    <xf numFmtId="49" fontId="7" fillId="32" borderId="32" xfId="0" applyNumberFormat="1" applyFont="1" applyFill="1" applyBorder="1" applyAlignment="1">
      <alignment horizontal="left" vertical="center" wrapText="1"/>
    </xf>
    <xf numFmtId="0" fontId="18" fillId="32" borderId="32" xfId="0" applyFont="1" applyFill="1" applyBorder="1" applyAlignment="1">
      <alignment horizontal="center" vertical="center" wrapText="1"/>
    </xf>
    <xf numFmtId="0" fontId="7" fillId="32" borderId="32" xfId="0" applyFont="1" applyFill="1" applyBorder="1" applyAlignment="1">
      <alignment horizontal="center" vertical="center" wrapText="1"/>
    </xf>
    <xf numFmtId="0" fontId="7" fillId="32" borderId="32" xfId="0" applyFont="1" applyFill="1" applyBorder="1" applyAlignment="1">
      <alignment horizontal="left" vertical="center" wrapText="1"/>
    </xf>
    <xf numFmtId="3" fontId="7" fillId="32" borderId="8" xfId="0" applyNumberFormat="1" applyFont="1" applyFill="1" applyBorder="1" applyAlignment="1">
      <alignment horizontal="center" vertical="center" wrapText="1"/>
    </xf>
    <xf numFmtId="0" fontId="18" fillId="32" borderId="32" xfId="0" applyFont="1" applyFill="1" applyBorder="1" applyAlignment="1">
      <alignment horizontal="left" vertical="center" wrapText="1"/>
    </xf>
    <xf numFmtId="0" fontId="4" fillId="32" borderId="32" xfId="0" applyFont="1" applyFill="1" applyBorder="1" applyAlignment="1">
      <alignment horizontal="left" vertical="center" wrapText="1"/>
    </xf>
    <xf numFmtId="3" fontId="7" fillId="32" borderId="32" xfId="0" applyNumberFormat="1" applyFont="1" applyFill="1" applyBorder="1" applyAlignment="1">
      <alignment horizontal="right" vertical="center" wrapText="1"/>
    </xf>
    <xf numFmtId="0" fontId="4" fillId="20" borderId="8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514350" cy="3905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10144125" cy="285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9"/>
  <sheetViews>
    <sheetView showGridLines="0" tabSelected="1" topLeftCell="A16" workbookViewId="0">
      <selection activeCell="AF33" sqref="AF33"/>
    </sheetView>
  </sheetViews>
  <sheetFormatPr defaultRowHeight="14.25" x14ac:dyDescent="0.45"/>
  <cols>
    <col min="1" max="1" width="4.265625" customWidth="1"/>
    <col min="2" max="2" width="3.3984375" customWidth="1"/>
    <col min="3" max="3" width="0.59765625" customWidth="1"/>
    <col min="4" max="4" width="6.59765625" customWidth="1"/>
    <col min="5" max="5" width="7.73046875" customWidth="1"/>
    <col min="6" max="6" width="9" customWidth="1"/>
    <col min="7" max="7" width="3.265625" customWidth="1"/>
    <col min="8" max="8" width="7.59765625" customWidth="1"/>
    <col min="9" max="9" width="3.1328125" customWidth="1"/>
    <col min="10" max="10" width="3.265625" customWidth="1"/>
    <col min="11" max="11" width="3.86328125" customWidth="1"/>
    <col min="12" max="12" width="3" customWidth="1"/>
    <col min="13" max="13" width="2.73046875" customWidth="1"/>
    <col min="14" max="14" width="7.265625" customWidth="1"/>
    <col min="15" max="15" width="8.3984375" customWidth="1"/>
    <col min="16" max="16" width="9.265625" customWidth="1"/>
    <col min="17" max="17" width="6" customWidth="1"/>
    <col min="18" max="18" width="7.1328125" customWidth="1"/>
    <col min="19" max="19" width="4.59765625" customWidth="1"/>
    <col min="20" max="20" width="9.59765625" customWidth="1"/>
    <col min="21" max="21" width="8.86328125" customWidth="1"/>
    <col min="22" max="22" width="5.265625" customWidth="1"/>
    <col min="23" max="23" width="1.265625" customWidth="1"/>
    <col min="24" max="24" width="3.86328125" customWidth="1"/>
    <col min="25" max="25" width="6.3984375" customWidth="1"/>
    <col min="26" max="26" width="8.59765625" customWidth="1"/>
    <col min="27" max="27" width="6.3984375" customWidth="1"/>
    <col min="28" max="29" width="0.73046875" customWidth="1"/>
  </cols>
  <sheetData>
    <row r="1" spans="1:30" ht="19.5" customHeight="1" x14ac:dyDescent="0.45"/>
    <row r="2" spans="1:30" ht="15" customHeight="1" x14ac:dyDescent="0.45">
      <c r="A2" s="26"/>
      <c r="B2" s="26"/>
      <c r="D2" s="32" t="s">
        <v>11</v>
      </c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15" t="s">
        <v>50</v>
      </c>
      <c r="W2" s="15"/>
      <c r="X2" s="15"/>
      <c r="Y2" s="15"/>
      <c r="Z2" s="15"/>
      <c r="AA2" s="15"/>
      <c r="AB2" s="15"/>
      <c r="AC2" s="15"/>
    </row>
    <row r="3" spans="1:30" ht="1.5" customHeight="1" x14ac:dyDescent="0.45">
      <c r="A3" s="26"/>
      <c r="B3" s="26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6" t="s">
        <v>51</v>
      </c>
      <c r="W3" s="14" t="s">
        <v>57</v>
      </c>
      <c r="X3" s="15" t="s">
        <v>58</v>
      </c>
      <c r="Y3" s="15"/>
      <c r="Z3" s="15"/>
      <c r="AA3" s="15"/>
      <c r="AB3" s="15"/>
      <c r="AC3" s="15"/>
    </row>
    <row r="4" spans="1:30" ht="3" customHeight="1" x14ac:dyDescent="0.45">
      <c r="A4" s="26"/>
      <c r="B4" s="26"/>
      <c r="V4" s="36"/>
      <c r="W4" s="14"/>
      <c r="X4" s="15"/>
      <c r="Y4" s="15"/>
      <c r="Z4" s="15"/>
      <c r="AA4" s="15"/>
      <c r="AB4" s="15"/>
      <c r="AC4" s="15"/>
    </row>
    <row r="5" spans="1:30" ht="11.25" customHeight="1" x14ac:dyDescent="0.45">
      <c r="A5" s="26"/>
      <c r="B5" s="26"/>
      <c r="D5" s="33" t="s">
        <v>12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6"/>
      <c r="W5" s="14"/>
      <c r="X5" s="15"/>
      <c r="Y5" s="15"/>
      <c r="Z5" s="15"/>
      <c r="AA5" s="15"/>
      <c r="AB5" s="15"/>
      <c r="AC5" s="15"/>
    </row>
    <row r="6" spans="1:30" ht="2.25" customHeight="1" x14ac:dyDescent="0.45"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6"/>
      <c r="W6" s="14"/>
      <c r="X6" s="15"/>
      <c r="Y6" s="15"/>
      <c r="Z6" s="15"/>
      <c r="AA6" s="15"/>
      <c r="AB6" s="15"/>
      <c r="AC6" s="15"/>
    </row>
    <row r="7" spans="1:30" ht="1.5" customHeight="1" x14ac:dyDescent="0.45"/>
    <row r="8" spans="1:30" ht="2.25" customHeight="1" x14ac:dyDescent="0.45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</row>
    <row r="9" spans="1:30" ht="10.5" customHeight="1" x14ac:dyDescent="0.45">
      <c r="A9" s="28" t="s">
        <v>0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9" t="s">
        <v>63</v>
      </c>
      <c r="AA9" s="29"/>
      <c r="AB9" s="28"/>
    </row>
    <row r="10" spans="1:30" ht="11.25" customHeight="1" x14ac:dyDescent="0.45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9" t="s">
        <v>64</v>
      </c>
      <c r="AA10" s="28"/>
      <c r="AB10" s="28"/>
    </row>
    <row r="11" spans="1:30" ht="1.5" customHeight="1" x14ac:dyDescent="0.45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</row>
    <row r="12" spans="1:30" ht="1.5" customHeight="1" x14ac:dyDescent="0.45"/>
    <row r="13" spans="1:30" ht="18" customHeight="1" x14ac:dyDescent="0.45">
      <c r="A13" s="30" t="s">
        <v>1</v>
      </c>
      <c r="B13" s="30"/>
      <c r="C13" s="30"/>
      <c r="D13" s="30"/>
      <c r="E13" s="34" t="s">
        <v>13</v>
      </c>
      <c r="F13" s="34"/>
      <c r="G13" s="34"/>
      <c r="H13" s="5" t="s">
        <v>19</v>
      </c>
      <c r="I13" s="34" t="s">
        <v>20</v>
      </c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20" t="s">
        <v>44</v>
      </c>
      <c r="U13" s="20"/>
      <c r="V13" s="34" t="s">
        <v>52</v>
      </c>
      <c r="W13" s="34"/>
      <c r="X13" s="34"/>
      <c r="Y13" s="34"/>
      <c r="Z13" s="34"/>
      <c r="AA13" s="34"/>
      <c r="AB13" s="34"/>
      <c r="AC13" s="34"/>
    </row>
    <row r="14" spans="1:30" ht="14.25" customHeight="1" x14ac:dyDescent="0.45">
      <c r="A14" s="31" t="s">
        <v>2</v>
      </c>
      <c r="B14" s="31"/>
      <c r="C14" s="31"/>
      <c r="D14" s="31"/>
      <c r="E14" s="35" t="s">
        <v>14</v>
      </c>
      <c r="F14" s="35"/>
      <c r="G14" s="35"/>
      <c r="H14" s="35"/>
      <c r="I14" s="35"/>
      <c r="J14" s="35"/>
      <c r="K14" s="35"/>
      <c r="L14" s="16" t="s">
        <v>24</v>
      </c>
      <c r="M14" s="16"/>
      <c r="N14" s="16"/>
      <c r="O14" s="23" t="s">
        <v>33</v>
      </c>
      <c r="P14" s="23"/>
      <c r="Q14" s="23"/>
      <c r="R14" s="23"/>
      <c r="S14" s="23"/>
      <c r="T14" s="16" t="s">
        <v>45</v>
      </c>
      <c r="U14" s="16"/>
      <c r="V14" s="23" t="s">
        <v>53</v>
      </c>
      <c r="W14" s="23"/>
      <c r="X14" s="23"/>
      <c r="Y14" s="23"/>
      <c r="Z14" s="23"/>
      <c r="AA14" s="23"/>
      <c r="AB14" s="23"/>
      <c r="AC14" s="23"/>
      <c r="AD14" s="12" t="s">
        <v>66</v>
      </c>
    </row>
    <row r="15" spans="1:30" ht="13.5" customHeight="1" x14ac:dyDescent="0.45">
      <c r="A15" s="24" t="s">
        <v>3</v>
      </c>
      <c r="B15" s="24"/>
      <c r="C15" s="24"/>
      <c r="D15" s="24"/>
      <c r="E15" s="25" t="s">
        <v>15</v>
      </c>
      <c r="F15" s="25"/>
      <c r="G15" s="25"/>
      <c r="H15" s="25"/>
      <c r="I15" s="25"/>
      <c r="J15" s="25"/>
      <c r="K15" s="25"/>
      <c r="L15" s="21" t="s">
        <v>25</v>
      </c>
      <c r="M15" s="21"/>
      <c r="N15" s="21"/>
      <c r="O15" s="19" t="s">
        <v>34</v>
      </c>
      <c r="P15" s="19"/>
      <c r="Q15" s="19" t="s">
        <v>40</v>
      </c>
      <c r="R15" s="19"/>
      <c r="S15" s="19"/>
      <c r="T15" s="21" t="s">
        <v>46</v>
      </c>
      <c r="U15" s="21"/>
      <c r="V15" s="19" t="s">
        <v>54</v>
      </c>
      <c r="W15" s="19"/>
      <c r="X15" s="19"/>
      <c r="Y15" s="19"/>
      <c r="Z15" s="19"/>
      <c r="AA15" s="19"/>
      <c r="AB15" s="19"/>
      <c r="AC15" s="19"/>
      <c r="AD15" s="12" t="s">
        <v>67</v>
      </c>
    </row>
    <row r="16" spans="1:30" ht="14.25" customHeight="1" x14ac:dyDescent="0.45">
      <c r="A16" s="24" t="s">
        <v>4</v>
      </c>
      <c r="B16" s="24"/>
      <c r="C16" s="24"/>
      <c r="D16" s="24"/>
      <c r="E16" s="25" t="s">
        <v>16</v>
      </c>
      <c r="F16" s="25"/>
      <c r="G16" s="25"/>
      <c r="H16" s="25"/>
      <c r="I16" s="25"/>
      <c r="J16" s="25"/>
      <c r="K16" s="25"/>
      <c r="L16" s="21" t="s">
        <v>26</v>
      </c>
      <c r="M16" s="21"/>
      <c r="N16" s="21"/>
      <c r="O16" s="19" t="s">
        <v>35</v>
      </c>
      <c r="P16" s="19"/>
      <c r="Q16" s="19"/>
      <c r="R16" s="19"/>
      <c r="S16" s="19"/>
      <c r="T16" s="21" t="s">
        <v>47</v>
      </c>
      <c r="U16" s="21"/>
      <c r="V16" s="19" t="s">
        <v>55</v>
      </c>
      <c r="W16" s="19"/>
      <c r="X16" s="19"/>
      <c r="Y16" s="19"/>
      <c r="Z16" s="19"/>
      <c r="AA16" s="19"/>
      <c r="AB16" s="19"/>
      <c r="AC16" s="19"/>
      <c r="AD16" s="12" t="s">
        <v>68</v>
      </c>
    </row>
    <row r="17" spans="1:30" ht="14.25" customHeight="1" x14ac:dyDescent="0.45">
      <c r="A17" s="1" t="s">
        <v>5</v>
      </c>
      <c r="B17" s="16" t="s">
        <v>7</v>
      </c>
      <c r="C17" s="16"/>
      <c r="D17" s="16"/>
      <c r="E17" s="16"/>
      <c r="F17" s="3" t="s">
        <v>17</v>
      </c>
      <c r="G17" s="16" t="s">
        <v>18</v>
      </c>
      <c r="H17" s="16"/>
      <c r="I17" s="16"/>
      <c r="J17" s="6" t="s">
        <v>21</v>
      </c>
      <c r="K17" s="6" t="s">
        <v>22</v>
      </c>
      <c r="L17" s="6" t="s">
        <v>27</v>
      </c>
      <c r="M17" s="6" t="s">
        <v>28</v>
      </c>
      <c r="N17" s="16" t="s">
        <v>29</v>
      </c>
      <c r="O17" s="16"/>
      <c r="P17" s="16" t="s">
        <v>36</v>
      </c>
      <c r="Q17" s="16"/>
      <c r="R17" s="16" t="s">
        <v>41</v>
      </c>
      <c r="S17" s="16"/>
      <c r="T17" s="3" t="s">
        <v>48</v>
      </c>
      <c r="U17" s="3" t="s">
        <v>49</v>
      </c>
      <c r="V17" s="16" t="s">
        <v>56</v>
      </c>
      <c r="W17" s="16"/>
      <c r="X17" s="16"/>
      <c r="Y17" s="16" t="s">
        <v>59</v>
      </c>
      <c r="Z17" s="16"/>
      <c r="AA17" s="16"/>
      <c r="AB17" s="16"/>
      <c r="AC17" s="16"/>
      <c r="AD17" s="12" t="s">
        <v>69</v>
      </c>
    </row>
    <row r="18" spans="1:30" ht="30.75" customHeight="1" x14ac:dyDescent="0.45">
      <c r="A18" s="2">
        <v>1</v>
      </c>
      <c r="B18" s="22" t="s">
        <v>8</v>
      </c>
      <c r="C18" s="22"/>
      <c r="D18" s="22"/>
      <c r="E18" s="22"/>
      <c r="F18" s="4"/>
      <c r="G18" s="22" t="s">
        <v>8</v>
      </c>
      <c r="H18" s="22"/>
      <c r="I18" s="22"/>
      <c r="J18" s="7"/>
      <c r="K18" s="7" t="s">
        <v>23</v>
      </c>
      <c r="L18" s="7" t="s">
        <v>23</v>
      </c>
      <c r="M18" s="7"/>
      <c r="N18" s="22" t="s">
        <v>30</v>
      </c>
      <c r="O18" s="22"/>
      <c r="P18" s="22" t="s">
        <v>37</v>
      </c>
      <c r="Q18" s="22"/>
      <c r="R18" s="8">
        <v>4</v>
      </c>
      <c r="S18" s="9" t="s">
        <v>42</v>
      </c>
      <c r="T18" s="10">
        <v>726</v>
      </c>
      <c r="U18" s="10">
        <v>0</v>
      </c>
      <c r="V18" s="13">
        <v>6.125</v>
      </c>
      <c r="W18" s="13"/>
      <c r="X18" s="13"/>
      <c r="Y18" s="17" t="s">
        <v>60</v>
      </c>
      <c r="Z18" s="17"/>
      <c r="AA18" s="17"/>
      <c r="AB18" s="17"/>
      <c r="AC18" s="17"/>
      <c r="AD18" s="12" t="s">
        <v>70</v>
      </c>
    </row>
    <row r="19" spans="1:30" ht="14.25" customHeight="1" x14ac:dyDescent="0.45">
      <c r="A19" s="2">
        <v>2</v>
      </c>
      <c r="B19" s="22" t="s">
        <v>9</v>
      </c>
      <c r="C19" s="22"/>
      <c r="D19" s="22"/>
      <c r="E19" s="22"/>
      <c r="F19" s="4"/>
      <c r="G19" s="22" t="s">
        <v>9</v>
      </c>
      <c r="H19" s="22"/>
      <c r="I19" s="22"/>
      <c r="J19" s="7"/>
      <c r="K19" s="7" t="s">
        <v>23</v>
      </c>
      <c r="L19" s="7" t="s">
        <v>23</v>
      </c>
      <c r="M19" s="7"/>
      <c r="N19" s="22" t="s">
        <v>31</v>
      </c>
      <c r="O19" s="22"/>
      <c r="P19" s="22" t="s">
        <v>38</v>
      </c>
      <c r="Q19" s="22"/>
      <c r="R19" s="8">
        <v>8</v>
      </c>
      <c r="S19" s="9" t="s">
        <v>42</v>
      </c>
      <c r="T19" s="10">
        <v>3145</v>
      </c>
      <c r="U19" s="10">
        <v>0</v>
      </c>
      <c r="V19" s="13">
        <v>14.568</v>
      </c>
      <c r="W19" s="13"/>
      <c r="X19" s="13"/>
      <c r="Y19" s="17" t="s">
        <v>61</v>
      </c>
      <c r="Z19" s="17"/>
      <c r="AA19" s="17"/>
      <c r="AB19" s="17"/>
      <c r="AC19" s="17"/>
      <c r="AD19" s="11" t="s">
        <v>65</v>
      </c>
    </row>
    <row r="20" spans="1:30" ht="14.25" customHeight="1" x14ac:dyDescent="0.45">
      <c r="A20" s="2">
        <v>3</v>
      </c>
      <c r="B20" s="22" t="s">
        <v>10</v>
      </c>
      <c r="C20" s="22"/>
      <c r="D20" s="22"/>
      <c r="E20" s="22"/>
      <c r="F20" s="4"/>
      <c r="G20" s="22" t="s">
        <v>10</v>
      </c>
      <c r="H20" s="22"/>
      <c r="I20" s="22"/>
      <c r="J20" s="7"/>
      <c r="K20" s="7" t="s">
        <v>23</v>
      </c>
      <c r="L20" s="7" t="s">
        <v>23</v>
      </c>
      <c r="M20" s="7"/>
      <c r="N20" s="22" t="s">
        <v>32</v>
      </c>
      <c r="O20" s="22"/>
      <c r="P20" s="22" t="s">
        <v>39</v>
      </c>
      <c r="Q20" s="22"/>
      <c r="R20" s="8">
        <v>33</v>
      </c>
      <c r="S20" s="9" t="s">
        <v>43</v>
      </c>
      <c r="T20" s="10">
        <v>291.2</v>
      </c>
      <c r="U20" s="10">
        <v>2.0550000000000002</v>
      </c>
      <c r="V20" s="13">
        <v>2.0550000000000002</v>
      </c>
      <c r="W20" s="13"/>
      <c r="X20" s="13"/>
      <c r="Y20" s="18"/>
      <c r="Z20" s="18"/>
      <c r="AA20" s="18"/>
      <c r="AB20" s="18"/>
      <c r="AC20" s="18"/>
      <c r="AD20" s="12" t="s">
        <v>71</v>
      </c>
    </row>
    <row r="21" spans="1:30" x14ac:dyDescent="0.45">
      <c r="A21" s="46">
        <v>1</v>
      </c>
      <c r="B21" s="42" t="s">
        <v>133</v>
      </c>
      <c r="C21" s="42"/>
      <c r="D21" s="42"/>
      <c r="E21" s="42"/>
      <c r="F21" s="44"/>
      <c r="G21" s="42" t="s">
        <v>133</v>
      </c>
      <c r="H21" s="42"/>
      <c r="I21" s="42"/>
      <c r="J21" s="43"/>
      <c r="K21" s="43" t="s">
        <v>23</v>
      </c>
      <c r="L21" s="43" t="s">
        <v>23</v>
      </c>
      <c r="M21" s="43"/>
      <c r="N21" s="42" t="s">
        <v>132</v>
      </c>
      <c r="O21" s="42"/>
      <c r="P21" s="42" t="s">
        <v>131</v>
      </c>
      <c r="Q21" s="42"/>
      <c r="R21" s="41">
        <v>1</v>
      </c>
      <c r="S21" s="40" t="s">
        <v>42</v>
      </c>
      <c r="T21" s="39">
        <v>1200</v>
      </c>
      <c r="U21" s="39">
        <v>2.218</v>
      </c>
      <c r="V21" s="38">
        <v>2.218</v>
      </c>
      <c r="W21" s="38"/>
      <c r="X21" s="38"/>
      <c r="Y21" s="37" t="s">
        <v>130</v>
      </c>
      <c r="Z21" s="37"/>
      <c r="AA21" s="37"/>
      <c r="AB21" s="37"/>
      <c r="AC21" s="37"/>
    </row>
    <row r="22" spans="1:30" ht="14.25" customHeight="1" x14ac:dyDescent="0.45">
      <c r="A22" s="46">
        <v>2</v>
      </c>
      <c r="B22" s="42" t="s">
        <v>129</v>
      </c>
      <c r="C22" s="42"/>
      <c r="D22" s="42"/>
      <c r="E22" s="42"/>
      <c r="F22" s="44"/>
      <c r="G22" s="42" t="s">
        <v>129</v>
      </c>
      <c r="H22" s="42"/>
      <c r="I22" s="42"/>
      <c r="J22" s="43"/>
      <c r="K22" s="43" t="s">
        <v>23</v>
      </c>
      <c r="L22" s="43" t="s">
        <v>23</v>
      </c>
      <c r="M22" s="43"/>
      <c r="N22" s="42" t="s">
        <v>128</v>
      </c>
      <c r="O22" s="42"/>
      <c r="P22" s="42" t="s">
        <v>127</v>
      </c>
      <c r="Q22" s="42"/>
      <c r="R22" s="41">
        <v>3</v>
      </c>
      <c r="S22" s="40" t="s">
        <v>42</v>
      </c>
      <c r="T22" s="39">
        <v>1745</v>
      </c>
      <c r="U22" s="39">
        <v>0</v>
      </c>
      <c r="V22" s="38">
        <v>5.0819999999999999</v>
      </c>
      <c r="W22" s="38"/>
      <c r="X22" s="38"/>
      <c r="Y22" s="37" t="s">
        <v>126</v>
      </c>
      <c r="Z22" s="37"/>
      <c r="AA22" s="37"/>
      <c r="AB22" s="37"/>
      <c r="AC22" s="37"/>
    </row>
    <row r="23" spans="1:30" ht="14.25" customHeight="1" x14ac:dyDescent="0.45">
      <c r="A23" s="46">
        <v>3</v>
      </c>
      <c r="B23" s="42" t="s">
        <v>125</v>
      </c>
      <c r="C23" s="42"/>
      <c r="D23" s="42"/>
      <c r="E23" s="42"/>
      <c r="F23" s="44"/>
      <c r="G23" s="42" t="s">
        <v>125</v>
      </c>
      <c r="H23" s="42"/>
      <c r="I23" s="42"/>
      <c r="J23" s="43"/>
      <c r="K23" s="43" t="s">
        <v>23</v>
      </c>
      <c r="L23" s="43" t="s">
        <v>23</v>
      </c>
      <c r="M23" s="43"/>
      <c r="N23" s="42" t="s">
        <v>124</v>
      </c>
      <c r="O23" s="42"/>
      <c r="P23" s="42" t="s">
        <v>123</v>
      </c>
      <c r="Q23" s="42"/>
      <c r="R23" s="41">
        <v>2</v>
      </c>
      <c r="S23" s="40" t="s">
        <v>42</v>
      </c>
      <c r="T23" s="39">
        <v>700</v>
      </c>
      <c r="U23" s="39">
        <v>3.7749999999999999</v>
      </c>
      <c r="V23" s="38">
        <v>3.7749999999999999</v>
      </c>
      <c r="W23" s="38"/>
      <c r="X23" s="38"/>
      <c r="Y23" s="37" t="s">
        <v>122</v>
      </c>
      <c r="Z23" s="37"/>
      <c r="AA23" s="37"/>
      <c r="AB23" s="37"/>
      <c r="AC23" s="37"/>
    </row>
    <row r="24" spans="1:30" x14ac:dyDescent="0.45">
      <c r="A24" s="46">
        <v>4</v>
      </c>
      <c r="B24" s="42" t="s">
        <v>121</v>
      </c>
      <c r="C24" s="42"/>
      <c r="D24" s="42"/>
      <c r="E24" s="42"/>
      <c r="F24" s="44"/>
      <c r="G24" s="42" t="s">
        <v>121</v>
      </c>
      <c r="H24" s="42"/>
      <c r="I24" s="42"/>
      <c r="J24" s="43"/>
      <c r="K24" s="43" t="s">
        <v>23</v>
      </c>
      <c r="L24" s="43" t="s">
        <v>23</v>
      </c>
      <c r="M24" s="43"/>
      <c r="N24" s="42" t="s">
        <v>120</v>
      </c>
      <c r="O24" s="42"/>
      <c r="P24" s="42" t="s">
        <v>119</v>
      </c>
      <c r="Q24" s="42"/>
      <c r="R24" s="41">
        <v>2</v>
      </c>
      <c r="S24" s="40" t="s">
        <v>42</v>
      </c>
      <c r="T24" s="39">
        <v>138.27000000000001</v>
      </c>
      <c r="U24" s="39">
        <v>2.952</v>
      </c>
      <c r="V24" s="38">
        <v>2.952</v>
      </c>
      <c r="W24" s="38"/>
      <c r="X24" s="38"/>
      <c r="Y24" s="37" t="s">
        <v>118</v>
      </c>
      <c r="Z24" s="37"/>
      <c r="AA24" s="37"/>
      <c r="AB24" s="37"/>
      <c r="AC24" s="37"/>
    </row>
    <row r="25" spans="1:30" x14ac:dyDescent="0.45">
      <c r="A25" s="46">
        <v>5</v>
      </c>
      <c r="B25" s="42" t="s">
        <v>117</v>
      </c>
      <c r="C25" s="42"/>
      <c r="D25" s="42"/>
      <c r="E25" s="42"/>
      <c r="F25" s="44"/>
      <c r="G25" s="42" t="s">
        <v>117</v>
      </c>
      <c r="H25" s="42"/>
      <c r="I25" s="42"/>
      <c r="J25" s="43"/>
      <c r="K25" s="43" t="s">
        <v>23</v>
      </c>
      <c r="L25" s="43" t="s">
        <v>23</v>
      </c>
      <c r="M25" s="43"/>
      <c r="N25" s="42" t="s">
        <v>116</v>
      </c>
      <c r="O25" s="42"/>
      <c r="P25" s="42" t="s">
        <v>115</v>
      </c>
      <c r="Q25" s="42"/>
      <c r="R25" s="41">
        <v>1</v>
      </c>
      <c r="S25" s="44"/>
      <c r="T25" s="39">
        <v>4400</v>
      </c>
      <c r="U25" s="39">
        <v>8.0000000000000002E-3</v>
      </c>
      <c r="V25" s="38">
        <v>10</v>
      </c>
      <c r="W25" s="38"/>
      <c r="X25" s="38"/>
      <c r="Y25" s="47"/>
      <c r="Z25" s="47"/>
      <c r="AA25" s="47"/>
      <c r="AB25" s="47"/>
      <c r="AC25" s="47"/>
    </row>
    <row r="26" spans="1:30" ht="14.25" customHeight="1" x14ac:dyDescent="0.45">
      <c r="A26" s="46">
        <v>6</v>
      </c>
      <c r="B26" s="42" t="s">
        <v>117</v>
      </c>
      <c r="C26" s="42"/>
      <c r="D26" s="42"/>
      <c r="E26" s="42"/>
      <c r="F26" s="44"/>
      <c r="G26" s="42" t="s">
        <v>117</v>
      </c>
      <c r="H26" s="42"/>
      <c r="I26" s="42"/>
      <c r="J26" s="43"/>
      <c r="K26" s="43" t="s">
        <v>23</v>
      </c>
      <c r="L26" s="43" t="s">
        <v>23</v>
      </c>
      <c r="M26" s="43"/>
      <c r="N26" s="42" t="s">
        <v>116</v>
      </c>
      <c r="O26" s="42"/>
      <c r="P26" s="42" t="s">
        <v>115</v>
      </c>
      <c r="Q26" s="42"/>
      <c r="R26" s="41">
        <v>13</v>
      </c>
      <c r="S26" s="40" t="s">
        <v>81</v>
      </c>
      <c r="T26" s="39">
        <v>0</v>
      </c>
      <c r="U26" s="39">
        <v>0.54600000000000004</v>
      </c>
      <c r="V26" s="38">
        <v>0</v>
      </c>
      <c r="W26" s="38"/>
      <c r="X26" s="38"/>
      <c r="Y26" s="47"/>
      <c r="Z26" s="47"/>
      <c r="AA26" s="47"/>
      <c r="AB26" s="47"/>
      <c r="AC26" s="47"/>
    </row>
    <row r="27" spans="1:30" ht="14.25" customHeight="1" x14ac:dyDescent="0.45">
      <c r="A27" s="46">
        <v>7</v>
      </c>
      <c r="B27" s="42" t="s">
        <v>117</v>
      </c>
      <c r="C27" s="42"/>
      <c r="D27" s="42"/>
      <c r="E27" s="42"/>
      <c r="F27" s="44"/>
      <c r="G27" s="42" t="s">
        <v>117</v>
      </c>
      <c r="H27" s="42"/>
      <c r="I27" s="42"/>
      <c r="J27" s="43"/>
      <c r="K27" s="43" t="s">
        <v>23</v>
      </c>
      <c r="L27" s="43" t="s">
        <v>23</v>
      </c>
      <c r="M27" s="43"/>
      <c r="N27" s="42" t="s">
        <v>116</v>
      </c>
      <c r="O27" s="42"/>
      <c r="P27" s="42" t="s">
        <v>115</v>
      </c>
      <c r="Q27" s="42"/>
      <c r="R27" s="41">
        <v>200</v>
      </c>
      <c r="S27" s="40" t="s">
        <v>81</v>
      </c>
      <c r="T27" s="39">
        <v>0</v>
      </c>
      <c r="U27" s="39">
        <v>0</v>
      </c>
      <c r="V27" s="38">
        <v>0</v>
      </c>
      <c r="W27" s="38"/>
      <c r="X27" s="38"/>
      <c r="Y27" s="47"/>
      <c r="Z27" s="47"/>
      <c r="AA27" s="47"/>
      <c r="AB27" s="47"/>
      <c r="AC27" s="47"/>
    </row>
    <row r="28" spans="1:30" ht="14.25" customHeight="1" x14ac:dyDescent="0.45">
      <c r="A28" s="46">
        <v>8</v>
      </c>
      <c r="B28" s="42" t="s">
        <v>114</v>
      </c>
      <c r="C28" s="42"/>
      <c r="D28" s="42"/>
      <c r="E28" s="42"/>
      <c r="F28" s="44"/>
      <c r="G28" s="42" t="s">
        <v>114</v>
      </c>
      <c r="H28" s="42"/>
      <c r="I28" s="42"/>
      <c r="J28" s="43"/>
      <c r="K28" s="43" t="s">
        <v>23</v>
      </c>
      <c r="L28" s="43" t="s">
        <v>23</v>
      </c>
      <c r="M28" s="43"/>
      <c r="N28" s="42" t="s">
        <v>113</v>
      </c>
      <c r="O28" s="42"/>
      <c r="P28" s="42" t="s">
        <v>109</v>
      </c>
      <c r="Q28" s="42"/>
      <c r="R28" s="41">
        <v>1</v>
      </c>
      <c r="S28" s="40" t="s">
        <v>103</v>
      </c>
      <c r="T28" s="39">
        <v>200</v>
      </c>
      <c r="U28" s="39">
        <v>0</v>
      </c>
      <c r="V28" s="38">
        <v>0.86399999999999999</v>
      </c>
      <c r="W28" s="38"/>
      <c r="X28" s="38"/>
      <c r="Y28" s="37" t="s">
        <v>112</v>
      </c>
      <c r="Z28" s="37"/>
      <c r="AA28" s="37"/>
      <c r="AB28" s="37"/>
      <c r="AC28" s="37"/>
    </row>
    <row r="29" spans="1:30" ht="14.25" customHeight="1" x14ac:dyDescent="0.45">
      <c r="A29" s="46">
        <v>9</v>
      </c>
      <c r="B29" s="42" t="s">
        <v>111</v>
      </c>
      <c r="C29" s="42"/>
      <c r="D29" s="42"/>
      <c r="E29" s="42"/>
      <c r="F29" s="44"/>
      <c r="G29" s="42" t="s">
        <v>111</v>
      </c>
      <c r="H29" s="42"/>
      <c r="I29" s="42"/>
      <c r="J29" s="43"/>
      <c r="K29" s="43" t="s">
        <v>23</v>
      </c>
      <c r="L29" s="43" t="s">
        <v>23</v>
      </c>
      <c r="M29" s="43"/>
      <c r="N29" s="42" t="s">
        <v>110</v>
      </c>
      <c r="O29" s="42"/>
      <c r="P29" s="42" t="s">
        <v>109</v>
      </c>
      <c r="Q29" s="42"/>
      <c r="R29" s="41">
        <v>1</v>
      </c>
      <c r="S29" s="40" t="s">
        <v>103</v>
      </c>
      <c r="T29" s="39">
        <v>200</v>
      </c>
      <c r="U29" s="39">
        <v>0</v>
      </c>
      <c r="V29" s="38">
        <v>1.2609999999999999</v>
      </c>
      <c r="W29" s="38"/>
      <c r="X29" s="38"/>
      <c r="Y29" s="37" t="s">
        <v>108</v>
      </c>
      <c r="Z29" s="37"/>
      <c r="AA29" s="37"/>
      <c r="AB29" s="37"/>
      <c r="AC29" s="37"/>
    </row>
    <row r="30" spans="1:30" x14ac:dyDescent="0.45">
      <c r="A30" s="46">
        <v>10</v>
      </c>
      <c r="B30" s="42" t="s">
        <v>107</v>
      </c>
      <c r="C30" s="42"/>
      <c r="D30" s="42"/>
      <c r="E30" s="42"/>
      <c r="F30" s="44"/>
      <c r="G30" s="42" t="s">
        <v>107</v>
      </c>
      <c r="H30" s="42"/>
      <c r="I30" s="42"/>
      <c r="J30" s="43"/>
      <c r="K30" s="43" t="s">
        <v>23</v>
      </c>
      <c r="L30" s="43" t="s">
        <v>23</v>
      </c>
      <c r="M30" s="43"/>
      <c r="N30" s="42" t="s">
        <v>106</v>
      </c>
      <c r="O30" s="42"/>
      <c r="P30" s="42" t="s">
        <v>105</v>
      </c>
      <c r="Q30" s="42"/>
      <c r="R30" s="41">
        <v>36</v>
      </c>
      <c r="S30" s="40" t="s">
        <v>43</v>
      </c>
      <c r="T30" s="39">
        <v>1025.3</v>
      </c>
      <c r="U30" s="39">
        <v>4.9420000000000002</v>
      </c>
      <c r="V30" s="38">
        <v>5</v>
      </c>
      <c r="W30" s="38"/>
      <c r="X30" s="38"/>
      <c r="Y30" s="47"/>
      <c r="Z30" s="47"/>
      <c r="AA30" s="47"/>
      <c r="AB30" s="47"/>
      <c r="AC30" s="47"/>
    </row>
    <row r="31" spans="1:30" ht="14.25" customHeight="1" x14ac:dyDescent="0.45">
      <c r="A31" s="46">
        <v>11</v>
      </c>
      <c r="B31" s="42" t="s">
        <v>107</v>
      </c>
      <c r="C31" s="42"/>
      <c r="D31" s="42"/>
      <c r="E31" s="42"/>
      <c r="F31" s="44"/>
      <c r="G31" s="42" t="s">
        <v>107</v>
      </c>
      <c r="H31" s="42"/>
      <c r="I31" s="42"/>
      <c r="J31" s="43"/>
      <c r="K31" s="43" t="s">
        <v>23</v>
      </c>
      <c r="L31" s="43" t="s">
        <v>23</v>
      </c>
      <c r="M31" s="43"/>
      <c r="N31" s="42" t="s">
        <v>106</v>
      </c>
      <c r="O31" s="42"/>
      <c r="P31" s="42" t="s">
        <v>105</v>
      </c>
      <c r="Q31" s="42"/>
      <c r="R31" s="41">
        <v>4</v>
      </c>
      <c r="S31" s="40" t="s">
        <v>81</v>
      </c>
      <c r="T31" s="39">
        <v>0</v>
      </c>
      <c r="U31" s="39">
        <v>0</v>
      </c>
      <c r="V31" s="38">
        <v>0</v>
      </c>
      <c r="W31" s="38"/>
      <c r="X31" s="38"/>
      <c r="Y31" s="47"/>
      <c r="Z31" s="47"/>
      <c r="AA31" s="47"/>
      <c r="AB31" s="47"/>
      <c r="AC31" s="47"/>
    </row>
    <row r="32" spans="1:30" x14ac:dyDescent="0.45">
      <c r="A32" s="46">
        <v>12</v>
      </c>
      <c r="B32" s="42" t="s">
        <v>104</v>
      </c>
      <c r="C32" s="42"/>
      <c r="D32" s="42"/>
      <c r="E32" s="42"/>
      <c r="F32" s="44"/>
      <c r="G32" s="42" t="s">
        <v>104</v>
      </c>
      <c r="H32" s="42"/>
      <c r="I32" s="42"/>
      <c r="J32" s="43"/>
      <c r="K32" s="43" t="s">
        <v>23</v>
      </c>
      <c r="L32" s="43" t="s">
        <v>23</v>
      </c>
      <c r="M32" s="43"/>
      <c r="N32" s="42" t="s">
        <v>99</v>
      </c>
      <c r="O32" s="42"/>
      <c r="P32" s="42" t="s">
        <v>98</v>
      </c>
      <c r="Q32" s="42"/>
      <c r="R32" s="41">
        <v>7</v>
      </c>
      <c r="S32" s="40" t="s">
        <v>103</v>
      </c>
      <c r="T32" s="39">
        <v>1099.99</v>
      </c>
      <c r="U32" s="39">
        <v>0</v>
      </c>
      <c r="V32" s="38">
        <v>6.4210000000000003</v>
      </c>
      <c r="W32" s="38"/>
      <c r="X32" s="38"/>
      <c r="Y32" s="37" t="s">
        <v>102</v>
      </c>
      <c r="Z32" s="37"/>
      <c r="AA32" s="37"/>
      <c r="AB32" s="37"/>
      <c r="AC32" s="37"/>
      <c r="AD32" s="11" t="s">
        <v>101</v>
      </c>
    </row>
    <row r="33" spans="1:32" ht="14.25" customHeight="1" x14ac:dyDescent="0.45">
      <c r="A33" s="46">
        <v>13</v>
      </c>
      <c r="B33" s="42" t="s">
        <v>100</v>
      </c>
      <c r="C33" s="42"/>
      <c r="D33" s="42"/>
      <c r="E33" s="42"/>
      <c r="F33" s="44"/>
      <c r="G33" s="42" t="s">
        <v>100</v>
      </c>
      <c r="H33" s="42"/>
      <c r="I33" s="42"/>
      <c r="J33" s="43"/>
      <c r="K33" s="43" t="s">
        <v>23</v>
      </c>
      <c r="L33" s="43" t="s">
        <v>23</v>
      </c>
      <c r="M33" s="43"/>
      <c r="N33" s="42" t="s">
        <v>99</v>
      </c>
      <c r="O33" s="42"/>
      <c r="P33" s="42" t="s">
        <v>98</v>
      </c>
      <c r="Q33" s="42"/>
      <c r="R33" s="41">
        <v>1</v>
      </c>
      <c r="S33" s="40" t="s">
        <v>42</v>
      </c>
      <c r="T33" s="39">
        <v>234</v>
      </c>
      <c r="U33" s="39">
        <v>0</v>
      </c>
      <c r="V33" s="38">
        <v>0.5</v>
      </c>
      <c r="W33" s="38"/>
      <c r="X33" s="38"/>
      <c r="Y33" s="37" t="s">
        <v>97</v>
      </c>
      <c r="Z33" s="37"/>
      <c r="AA33" s="37"/>
      <c r="AB33" s="37"/>
      <c r="AC33" s="37"/>
    </row>
    <row r="34" spans="1:32" x14ac:dyDescent="0.45">
      <c r="A34" s="46">
        <v>14</v>
      </c>
      <c r="B34" s="45"/>
      <c r="C34" s="45"/>
      <c r="D34" s="45"/>
      <c r="E34" s="45"/>
      <c r="F34" s="44"/>
      <c r="G34" s="42" t="s">
        <v>96</v>
      </c>
      <c r="H34" s="42"/>
      <c r="I34" s="42"/>
      <c r="J34" s="43"/>
      <c r="K34" s="43" t="s">
        <v>23</v>
      </c>
      <c r="L34" s="43" t="s">
        <v>23</v>
      </c>
      <c r="M34" s="43"/>
      <c r="N34" s="42" t="s">
        <v>95</v>
      </c>
      <c r="O34" s="42"/>
      <c r="P34" s="42" t="s">
        <v>94</v>
      </c>
      <c r="Q34" s="42"/>
      <c r="R34" s="41">
        <v>3</v>
      </c>
      <c r="S34" s="40" t="s">
        <v>42</v>
      </c>
      <c r="T34" s="39">
        <v>2000</v>
      </c>
      <c r="U34" s="39">
        <v>4.8460000000000001</v>
      </c>
      <c r="V34" s="38">
        <v>4.8460000000000001</v>
      </c>
      <c r="W34" s="38"/>
      <c r="X34" s="38"/>
      <c r="Y34" s="37" t="s">
        <v>93</v>
      </c>
      <c r="Z34" s="37"/>
      <c r="AA34" s="37"/>
      <c r="AB34" s="37"/>
      <c r="AC34" s="37"/>
    </row>
    <row r="35" spans="1:32" ht="14.25" customHeight="1" x14ac:dyDescent="0.45">
      <c r="A35" s="46">
        <v>15</v>
      </c>
      <c r="B35" s="45"/>
      <c r="C35" s="45"/>
      <c r="D35" s="45"/>
      <c r="E35" s="45"/>
      <c r="F35" s="44"/>
      <c r="G35" s="42" t="s">
        <v>92</v>
      </c>
      <c r="H35" s="42"/>
      <c r="I35" s="42"/>
      <c r="J35" s="43"/>
      <c r="K35" s="43" t="s">
        <v>23</v>
      </c>
      <c r="L35" s="43" t="s">
        <v>23</v>
      </c>
      <c r="M35" s="43"/>
      <c r="N35" s="42" t="s">
        <v>91</v>
      </c>
      <c r="O35" s="42"/>
      <c r="P35" s="42" t="s">
        <v>90</v>
      </c>
      <c r="Q35" s="42"/>
      <c r="R35" s="41">
        <v>1</v>
      </c>
      <c r="S35" s="44"/>
      <c r="T35" s="39">
        <v>1000</v>
      </c>
      <c r="U35" s="39">
        <v>1.7410000000000001</v>
      </c>
      <c r="V35" s="38">
        <v>1.7410000000000001</v>
      </c>
      <c r="W35" s="38"/>
      <c r="X35" s="38"/>
      <c r="Y35" s="37" t="s">
        <v>89</v>
      </c>
      <c r="Z35" s="37"/>
      <c r="AA35" s="37"/>
      <c r="AB35" s="37"/>
      <c r="AC35" s="37"/>
    </row>
    <row r="36" spans="1:32" ht="14.25" customHeight="1" x14ac:dyDescent="0.45">
      <c r="A36" s="46">
        <v>16</v>
      </c>
      <c r="B36" s="45"/>
      <c r="C36" s="45"/>
      <c r="D36" s="45"/>
      <c r="E36" s="45"/>
      <c r="F36" s="44"/>
      <c r="G36" s="42" t="s">
        <v>88</v>
      </c>
      <c r="H36" s="42"/>
      <c r="I36" s="42"/>
      <c r="J36" s="43"/>
      <c r="K36" s="43" t="s">
        <v>23</v>
      </c>
      <c r="L36" s="43" t="s">
        <v>23</v>
      </c>
      <c r="M36" s="43"/>
      <c r="N36" s="42" t="s">
        <v>87</v>
      </c>
      <c r="O36" s="42"/>
      <c r="P36" s="42" t="s">
        <v>86</v>
      </c>
      <c r="Q36" s="42"/>
      <c r="R36" s="41">
        <v>0</v>
      </c>
      <c r="S36" s="44"/>
      <c r="T36" s="39">
        <v>0</v>
      </c>
      <c r="U36" s="39">
        <v>0</v>
      </c>
      <c r="V36" s="38">
        <v>2</v>
      </c>
      <c r="W36" s="38"/>
      <c r="X36" s="38"/>
      <c r="Y36" s="47"/>
      <c r="Z36" s="47"/>
      <c r="AA36" s="47"/>
      <c r="AB36" s="47"/>
      <c r="AC36" s="47"/>
    </row>
    <row r="37" spans="1:32" ht="14.25" customHeight="1" x14ac:dyDescent="0.45">
      <c r="A37" s="46">
        <v>17</v>
      </c>
      <c r="B37" s="45"/>
      <c r="C37" s="45"/>
      <c r="D37" s="45"/>
      <c r="E37" s="45"/>
      <c r="F37" s="44"/>
      <c r="G37" s="42" t="s">
        <v>84</v>
      </c>
      <c r="H37" s="42"/>
      <c r="I37" s="42"/>
      <c r="J37" s="43"/>
      <c r="K37" s="43" t="s">
        <v>23</v>
      </c>
      <c r="L37" s="43" t="s">
        <v>23</v>
      </c>
      <c r="M37" s="43"/>
      <c r="N37" s="42" t="s">
        <v>83</v>
      </c>
      <c r="O37" s="42"/>
      <c r="P37" s="42" t="s">
        <v>82</v>
      </c>
      <c r="Q37" s="42"/>
      <c r="R37" s="41">
        <v>21</v>
      </c>
      <c r="S37" s="40" t="s">
        <v>81</v>
      </c>
      <c r="T37" s="39">
        <v>1972</v>
      </c>
      <c r="U37" s="39">
        <v>1.7769999999999999</v>
      </c>
      <c r="V37" s="38">
        <v>7.3959999999999999</v>
      </c>
      <c r="W37" s="38"/>
      <c r="X37" s="38"/>
      <c r="Y37" s="37" t="s">
        <v>85</v>
      </c>
      <c r="Z37" s="37"/>
      <c r="AA37" s="37"/>
      <c r="AB37" s="37"/>
      <c r="AC37" s="37"/>
    </row>
    <row r="38" spans="1:32" ht="14.25" customHeight="1" x14ac:dyDescent="0.45">
      <c r="A38" s="46">
        <v>18</v>
      </c>
      <c r="B38" s="45"/>
      <c r="C38" s="45"/>
      <c r="D38" s="45"/>
      <c r="E38" s="45"/>
      <c r="F38" s="44"/>
      <c r="G38" s="42" t="s">
        <v>84</v>
      </c>
      <c r="H38" s="42"/>
      <c r="I38" s="42"/>
      <c r="J38" s="43"/>
      <c r="K38" s="43" t="s">
        <v>23</v>
      </c>
      <c r="L38" s="43" t="s">
        <v>23</v>
      </c>
      <c r="M38" s="43"/>
      <c r="N38" s="42" t="s">
        <v>83</v>
      </c>
      <c r="O38" s="42"/>
      <c r="P38" s="42" t="s">
        <v>82</v>
      </c>
      <c r="Q38" s="42"/>
      <c r="R38" s="41">
        <v>12</v>
      </c>
      <c r="S38" s="40" t="s">
        <v>81</v>
      </c>
      <c r="T38" s="39">
        <v>0</v>
      </c>
      <c r="U38" s="39">
        <v>1</v>
      </c>
      <c r="V38" s="38">
        <v>0</v>
      </c>
      <c r="W38" s="38"/>
      <c r="X38" s="38"/>
      <c r="Y38" s="47"/>
      <c r="Z38" s="47"/>
      <c r="AA38" s="47"/>
      <c r="AB38" s="47"/>
      <c r="AC38" s="47"/>
    </row>
    <row r="39" spans="1:32" x14ac:dyDescent="0.45">
      <c r="A39" s="46">
        <v>19</v>
      </c>
      <c r="B39" s="45"/>
      <c r="C39" s="45"/>
      <c r="D39" s="45"/>
      <c r="E39" s="45"/>
      <c r="F39" s="44"/>
      <c r="G39" s="42" t="s">
        <v>84</v>
      </c>
      <c r="H39" s="42"/>
      <c r="I39" s="42"/>
      <c r="J39" s="43"/>
      <c r="K39" s="43" t="s">
        <v>23</v>
      </c>
      <c r="L39" s="43" t="s">
        <v>23</v>
      </c>
      <c r="M39" s="43"/>
      <c r="N39" s="42" t="s">
        <v>83</v>
      </c>
      <c r="O39" s="42"/>
      <c r="P39" s="42" t="s">
        <v>82</v>
      </c>
      <c r="Q39" s="42"/>
      <c r="R39" s="41">
        <v>32</v>
      </c>
      <c r="S39" s="40" t="s">
        <v>81</v>
      </c>
      <c r="T39" s="39">
        <v>0</v>
      </c>
      <c r="U39" s="39">
        <v>0</v>
      </c>
      <c r="V39" s="38">
        <v>0</v>
      </c>
      <c r="W39" s="38"/>
      <c r="X39" s="38"/>
      <c r="Y39" s="47"/>
      <c r="Z39" s="47"/>
      <c r="AA39" s="47"/>
      <c r="AB39" s="47"/>
      <c r="AC39" s="47"/>
    </row>
    <row r="40" spans="1:32" x14ac:dyDescent="0.45">
      <c r="A40" s="46">
        <v>20</v>
      </c>
      <c r="B40" s="45"/>
      <c r="C40" s="45"/>
      <c r="D40" s="45"/>
      <c r="E40" s="45"/>
      <c r="F40" s="44"/>
      <c r="G40" s="42" t="s">
        <v>80</v>
      </c>
      <c r="H40" s="42"/>
      <c r="I40" s="42"/>
      <c r="J40" s="43"/>
      <c r="K40" s="43" t="s">
        <v>23</v>
      </c>
      <c r="L40" s="43" t="s">
        <v>23</v>
      </c>
      <c r="M40" s="43"/>
      <c r="N40" s="42" t="s">
        <v>79</v>
      </c>
      <c r="O40" s="42"/>
      <c r="P40" s="42" t="s">
        <v>78</v>
      </c>
      <c r="Q40" s="42"/>
      <c r="R40" s="41">
        <v>1</v>
      </c>
      <c r="S40" s="40" t="s">
        <v>43</v>
      </c>
      <c r="T40" s="39">
        <v>200</v>
      </c>
      <c r="U40" s="39">
        <v>0</v>
      </c>
      <c r="V40" s="38">
        <v>0.6</v>
      </c>
      <c r="W40" s="38"/>
      <c r="X40" s="38"/>
      <c r="Y40" s="37" t="s">
        <v>77</v>
      </c>
      <c r="Z40" s="37"/>
      <c r="AA40" s="37"/>
      <c r="AB40" s="37"/>
      <c r="AC40" s="37"/>
      <c r="AD40" s="11" t="s">
        <v>76</v>
      </c>
    </row>
    <row r="41" spans="1:32" ht="14.25" customHeight="1" x14ac:dyDescent="0.45">
      <c r="A41" s="46">
        <v>21</v>
      </c>
      <c r="B41" s="45"/>
      <c r="C41" s="45"/>
      <c r="D41" s="45"/>
      <c r="E41" s="45"/>
      <c r="F41" s="44"/>
      <c r="G41" s="42" t="s">
        <v>75</v>
      </c>
      <c r="H41" s="42"/>
      <c r="I41" s="42"/>
      <c r="J41" s="43"/>
      <c r="K41" s="43" t="s">
        <v>23</v>
      </c>
      <c r="L41" s="43" t="s">
        <v>23</v>
      </c>
      <c r="M41" s="43"/>
      <c r="N41" s="42" t="s">
        <v>74</v>
      </c>
      <c r="O41" s="42"/>
      <c r="P41" s="42" t="s">
        <v>73</v>
      </c>
      <c r="Q41" s="42"/>
      <c r="R41" s="41">
        <v>1</v>
      </c>
      <c r="S41" s="40" t="s">
        <v>42</v>
      </c>
      <c r="T41" s="39">
        <v>162</v>
      </c>
      <c r="U41" s="39">
        <v>0</v>
      </c>
      <c r="V41" s="38">
        <v>1.452</v>
      </c>
      <c r="W41" s="38"/>
      <c r="X41" s="38"/>
      <c r="Y41" s="37" t="s">
        <v>72</v>
      </c>
      <c r="Z41" s="37"/>
      <c r="AA41" s="37"/>
      <c r="AB41" s="37"/>
      <c r="AC41" s="37"/>
    </row>
    <row r="42" spans="1:32" x14ac:dyDescent="0.45">
      <c r="A42" s="46">
        <v>1</v>
      </c>
      <c r="B42" s="42" t="s">
        <v>191</v>
      </c>
      <c r="C42" s="42"/>
      <c r="D42" s="42"/>
      <c r="E42" s="42"/>
      <c r="F42" s="44"/>
      <c r="G42" s="42" t="s">
        <v>191</v>
      </c>
      <c r="H42" s="42"/>
      <c r="I42" s="42"/>
      <c r="J42" s="43"/>
      <c r="K42" s="43" t="s">
        <v>23</v>
      </c>
      <c r="L42" s="43" t="s">
        <v>23</v>
      </c>
      <c r="M42" s="43"/>
      <c r="N42" s="42" t="s">
        <v>190</v>
      </c>
      <c r="O42" s="42"/>
      <c r="P42" s="42" t="s">
        <v>189</v>
      </c>
      <c r="Q42" s="42"/>
      <c r="R42" s="41">
        <v>2</v>
      </c>
      <c r="S42" s="40" t="s">
        <v>43</v>
      </c>
      <c r="T42" s="39">
        <v>271</v>
      </c>
      <c r="U42" s="39">
        <v>0</v>
      </c>
      <c r="V42" s="38">
        <v>2.9</v>
      </c>
      <c r="W42" s="38"/>
      <c r="X42" s="38"/>
      <c r="Y42" s="37" t="s">
        <v>188</v>
      </c>
      <c r="Z42" s="37"/>
      <c r="AA42" s="37"/>
      <c r="AB42" s="37"/>
      <c r="AC42" s="37"/>
      <c r="AD42" s="12"/>
      <c r="AF42" s="12"/>
    </row>
    <row r="43" spans="1:32" x14ac:dyDescent="0.45">
      <c r="A43" s="46">
        <v>2</v>
      </c>
      <c r="B43" s="42" t="s">
        <v>187</v>
      </c>
      <c r="C43" s="42"/>
      <c r="D43" s="42"/>
      <c r="E43" s="42"/>
      <c r="F43" s="44"/>
      <c r="G43" s="42" t="s">
        <v>187</v>
      </c>
      <c r="H43" s="42"/>
      <c r="I43" s="42"/>
      <c r="J43" s="43"/>
      <c r="K43" s="43" t="s">
        <v>23</v>
      </c>
      <c r="L43" s="43" t="s">
        <v>23</v>
      </c>
      <c r="M43" s="43"/>
      <c r="N43" s="42" t="s">
        <v>186</v>
      </c>
      <c r="O43" s="42"/>
      <c r="P43" s="42" t="s">
        <v>185</v>
      </c>
      <c r="Q43" s="42"/>
      <c r="R43" s="41">
        <v>1</v>
      </c>
      <c r="S43" s="40" t="s">
        <v>43</v>
      </c>
      <c r="T43" s="39">
        <v>110</v>
      </c>
      <c r="U43" s="39">
        <v>1.0900000000000001</v>
      </c>
      <c r="V43" s="38">
        <v>1.07</v>
      </c>
      <c r="W43" s="38"/>
      <c r="X43" s="38"/>
      <c r="Y43" s="37" t="s">
        <v>184</v>
      </c>
      <c r="Z43" s="37"/>
      <c r="AA43" s="37"/>
      <c r="AB43" s="37"/>
      <c r="AC43" s="37"/>
      <c r="AD43" s="12"/>
      <c r="AF43" s="12"/>
    </row>
    <row r="44" spans="1:32" x14ac:dyDescent="0.45">
      <c r="A44" s="46">
        <v>3</v>
      </c>
      <c r="B44" s="42" t="s">
        <v>183</v>
      </c>
      <c r="C44" s="42"/>
      <c r="D44" s="42"/>
      <c r="E44" s="42"/>
      <c r="F44" s="44"/>
      <c r="G44" s="42" t="s">
        <v>183</v>
      </c>
      <c r="H44" s="42"/>
      <c r="I44" s="42"/>
      <c r="J44" s="43"/>
      <c r="K44" s="43" t="s">
        <v>23</v>
      </c>
      <c r="L44" s="43" t="s">
        <v>23</v>
      </c>
      <c r="M44" s="43"/>
      <c r="N44" s="42" t="s">
        <v>182</v>
      </c>
      <c r="O44" s="42"/>
      <c r="P44" s="42" t="s">
        <v>181</v>
      </c>
      <c r="Q44" s="42"/>
      <c r="R44" s="41">
        <v>1</v>
      </c>
      <c r="S44" s="40" t="s">
        <v>43</v>
      </c>
      <c r="T44" s="39">
        <v>1910</v>
      </c>
      <c r="U44" s="39">
        <v>3.4460000000000002</v>
      </c>
      <c r="V44" s="38">
        <v>3.4460000000000002</v>
      </c>
      <c r="W44" s="38"/>
      <c r="X44" s="38"/>
      <c r="Y44" s="37" t="s">
        <v>180</v>
      </c>
      <c r="Z44" s="37"/>
      <c r="AA44" s="37"/>
      <c r="AB44" s="37"/>
      <c r="AC44" s="37"/>
    </row>
    <row r="45" spans="1:32" x14ac:dyDescent="0.45">
      <c r="A45" s="46">
        <v>4</v>
      </c>
      <c r="B45" s="42" t="s">
        <v>179</v>
      </c>
      <c r="C45" s="42"/>
      <c r="D45" s="42"/>
      <c r="E45" s="42"/>
      <c r="F45" s="44"/>
      <c r="G45" s="42" t="s">
        <v>179</v>
      </c>
      <c r="H45" s="42"/>
      <c r="I45" s="42"/>
      <c r="J45" s="43"/>
      <c r="K45" s="43" t="s">
        <v>23</v>
      </c>
      <c r="L45" s="43" t="s">
        <v>23</v>
      </c>
      <c r="M45" s="43"/>
      <c r="N45" s="42" t="s">
        <v>178</v>
      </c>
      <c r="O45" s="42"/>
      <c r="P45" s="42" t="s">
        <v>177</v>
      </c>
      <c r="Q45" s="42"/>
      <c r="R45" s="41">
        <v>1</v>
      </c>
      <c r="S45" s="40" t="s">
        <v>176</v>
      </c>
      <c r="T45" s="39">
        <v>130</v>
      </c>
      <c r="U45" s="39">
        <v>0</v>
      </c>
      <c r="V45" s="38">
        <v>0.35499999999999998</v>
      </c>
      <c r="W45" s="38"/>
      <c r="X45" s="38"/>
      <c r="Y45" s="37" t="s">
        <v>175</v>
      </c>
      <c r="Z45" s="37"/>
      <c r="AA45" s="37"/>
      <c r="AB45" s="37"/>
      <c r="AC45" s="37"/>
      <c r="AD45" s="11" t="s">
        <v>174</v>
      </c>
    </row>
    <row r="46" spans="1:32" ht="14.25" customHeight="1" x14ac:dyDescent="0.45">
      <c r="A46" s="46">
        <v>5</v>
      </c>
      <c r="B46" s="42" t="s">
        <v>173</v>
      </c>
      <c r="C46" s="42"/>
      <c r="D46" s="42"/>
      <c r="E46" s="42"/>
      <c r="F46" s="44"/>
      <c r="G46" s="42" t="s">
        <v>173</v>
      </c>
      <c r="H46" s="42"/>
      <c r="I46" s="42"/>
      <c r="J46" s="43"/>
      <c r="K46" s="43" t="s">
        <v>23</v>
      </c>
      <c r="L46" s="43" t="s">
        <v>23</v>
      </c>
      <c r="M46" s="43"/>
      <c r="N46" s="42" t="s">
        <v>172</v>
      </c>
      <c r="O46" s="42"/>
      <c r="P46" s="42" t="s">
        <v>38</v>
      </c>
      <c r="Q46" s="42"/>
      <c r="R46" s="41">
        <v>1</v>
      </c>
      <c r="S46" s="40" t="s">
        <v>42</v>
      </c>
      <c r="T46" s="39">
        <v>210</v>
      </c>
      <c r="U46" s="39">
        <v>0</v>
      </c>
      <c r="V46" s="38">
        <v>1.573</v>
      </c>
      <c r="W46" s="38"/>
      <c r="X46" s="38"/>
      <c r="Y46" s="37" t="s">
        <v>171</v>
      </c>
      <c r="Z46" s="37"/>
      <c r="AA46" s="37"/>
      <c r="AB46" s="37"/>
      <c r="AC46" s="37"/>
    </row>
    <row r="47" spans="1:32" x14ac:dyDescent="0.45">
      <c r="A47" s="46">
        <v>6</v>
      </c>
      <c r="B47" s="42" t="s">
        <v>170</v>
      </c>
      <c r="C47" s="42"/>
      <c r="D47" s="42"/>
      <c r="E47" s="42"/>
      <c r="F47" s="44"/>
      <c r="G47" s="42" t="s">
        <v>170</v>
      </c>
      <c r="H47" s="42"/>
      <c r="I47" s="42"/>
      <c r="J47" s="43"/>
      <c r="K47" s="43" t="s">
        <v>23</v>
      </c>
      <c r="L47" s="43" t="s">
        <v>23</v>
      </c>
      <c r="M47" s="43"/>
      <c r="N47" s="42" t="s">
        <v>169</v>
      </c>
      <c r="O47" s="42"/>
      <c r="P47" s="42" t="s">
        <v>168</v>
      </c>
      <c r="Q47" s="42"/>
      <c r="R47" s="41">
        <v>125</v>
      </c>
      <c r="S47" s="40" t="s">
        <v>43</v>
      </c>
      <c r="T47" s="39">
        <v>1915</v>
      </c>
      <c r="U47" s="39">
        <v>0</v>
      </c>
      <c r="V47" s="38">
        <v>9</v>
      </c>
      <c r="W47" s="38"/>
      <c r="X47" s="38"/>
      <c r="Y47" s="47"/>
      <c r="Z47" s="47"/>
      <c r="AA47" s="47"/>
      <c r="AB47" s="47"/>
      <c r="AC47" s="47"/>
    </row>
    <row r="48" spans="1:32" ht="14.25" customHeight="1" x14ac:dyDescent="0.45">
      <c r="A48" s="46">
        <v>7</v>
      </c>
      <c r="B48" s="45"/>
      <c r="C48" s="45"/>
      <c r="D48" s="45"/>
      <c r="E48" s="45"/>
      <c r="F48" s="44"/>
      <c r="G48" s="42" t="s">
        <v>167</v>
      </c>
      <c r="H48" s="42"/>
      <c r="I48" s="42"/>
      <c r="J48" s="43"/>
      <c r="K48" s="43" t="s">
        <v>23</v>
      </c>
      <c r="L48" s="43" t="s">
        <v>23</v>
      </c>
      <c r="M48" s="43"/>
      <c r="N48" s="42" t="s">
        <v>166</v>
      </c>
      <c r="O48" s="42"/>
      <c r="P48" s="42" t="s">
        <v>165</v>
      </c>
      <c r="Q48" s="42"/>
      <c r="R48" s="41">
        <v>20</v>
      </c>
      <c r="S48" s="40" t="s">
        <v>143</v>
      </c>
      <c r="T48" s="39">
        <v>382.01</v>
      </c>
      <c r="U48" s="39">
        <v>0</v>
      </c>
      <c r="V48" s="38">
        <v>1</v>
      </c>
      <c r="W48" s="38"/>
      <c r="X48" s="38"/>
      <c r="Y48" s="47"/>
      <c r="Z48" s="47"/>
      <c r="AA48" s="47"/>
      <c r="AB48" s="47"/>
      <c r="AC48" s="47"/>
      <c r="AE48" s="12"/>
    </row>
    <row r="49" spans="1:31" ht="14.25" customHeight="1" x14ac:dyDescent="0.45">
      <c r="A49" s="46">
        <v>8</v>
      </c>
      <c r="B49" s="45"/>
      <c r="C49" s="45"/>
      <c r="D49" s="45"/>
      <c r="E49" s="45"/>
      <c r="F49" s="44"/>
      <c r="G49" s="42" t="s">
        <v>167</v>
      </c>
      <c r="H49" s="42"/>
      <c r="I49" s="42"/>
      <c r="J49" s="43"/>
      <c r="K49" s="43" t="s">
        <v>23</v>
      </c>
      <c r="L49" s="43" t="s">
        <v>23</v>
      </c>
      <c r="M49" s="43"/>
      <c r="N49" s="42" t="s">
        <v>166</v>
      </c>
      <c r="O49" s="42"/>
      <c r="P49" s="42" t="s">
        <v>165</v>
      </c>
      <c r="Q49" s="42"/>
      <c r="R49" s="41">
        <v>5</v>
      </c>
      <c r="S49" s="40" t="s">
        <v>143</v>
      </c>
      <c r="T49" s="39">
        <v>139.1</v>
      </c>
      <c r="U49" s="39">
        <v>0</v>
      </c>
      <c r="V49" s="38">
        <v>0</v>
      </c>
      <c r="W49" s="38"/>
      <c r="X49" s="38"/>
      <c r="Y49" s="47"/>
      <c r="Z49" s="47"/>
      <c r="AA49" s="47"/>
      <c r="AB49" s="47"/>
      <c r="AC49" s="47"/>
      <c r="AE49" s="12"/>
    </row>
    <row r="50" spans="1:31" ht="14.25" customHeight="1" x14ac:dyDescent="0.45">
      <c r="A50" s="46">
        <v>9</v>
      </c>
      <c r="B50" s="45"/>
      <c r="C50" s="45"/>
      <c r="D50" s="45"/>
      <c r="E50" s="45"/>
      <c r="F50" s="44"/>
      <c r="G50" s="42" t="s">
        <v>164</v>
      </c>
      <c r="H50" s="42"/>
      <c r="I50" s="42"/>
      <c r="J50" s="43"/>
      <c r="K50" s="43" t="s">
        <v>23</v>
      </c>
      <c r="L50" s="43" t="s">
        <v>23</v>
      </c>
      <c r="M50" s="43"/>
      <c r="N50" s="42" t="s">
        <v>163</v>
      </c>
      <c r="O50" s="42"/>
      <c r="P50" s="42" t="s">
        <v>162</v>
      </c>
      <c r="Q50" s="42"/>
      <c r="R50" s="41">
        <v>14</v>
      </c>
      <c r="S50" s="40" t="s">
        <v>161</v>
      </c>
      <c r="T50" s="39">
        <v>547</v>
      </c>
      <c r="U50" s="39">
        <v>0</v>
      </c>
      <c r="V50" s="38">
        <v>1.64</v>
      </c>
      <c r="W50" s="38"/>
      <c r="X50" s="38"/>
      <c r="Y50" s="47"/>
      <c r="Z50" s="47"/>
      <c r="AA50" s="47"/>
      <c r="AB50" s="47"/>
      <c r="AC50" s="47"/>
      <c r="AE50" s="12"/>
    </row>
    <row r="51" spans="1:31" ht="14.25" customHeight="1" x14ac:dyDescent="0.45">
      <c r="A51" s="46">
        <v>10</v>
      </c>
      <c r="B51" s="45"/>
      <c r="C51" s="45"/>
      <c r="D51" s="45"/>
      <c r="E51" s="45"/>
      <c r="F51" s="44"/>
      <c r="G51" s="42" t="s">
        <v>160</v>
      </c>
      <c r="H51" s="42"/>
      <c r="I51" s="42"/>
      <c r="J51" s="43"/>
      <c r="K51" s="43" t="s">
        <v>23</v>
      </c>
      <c r="L51" s="43" t="s">
        <v>23</v>
      </c>
      <c r="M51" s="43"/>
      <c r="N51" s="42" t="s">
        <v>159</v>
      </c>
      <c r="O51" s="42"/>
      <c r="P51" s="42" t="s">
        <v>158</v>
      </c>
      <c r="Q51" s="42"/>
      <c r="R51" s="41">
        <v>1</v>
      </c>
      <c r="S51" s="44"/>
      <c r="T51" s="39">
        <v>500</v>
      </c>
      <c r="U51" s="39">
        <v>0</v>
      </c>
      <c r="V51" s="38">
        <v>0.3</v>
      </c>
      <c r="W51" s="38"/>
      <c r="X51" s="38"/>
      <c r="Y51" s="47"/>
      <c r="Z51" s="47"/>
      <c r="AA51" s="47"/>
      <c r="AB51" s="47"/>
      <c r="AC51" s="47"/>
      <c r="AE51" s="12"/>
    </row>
    <row r="52" spans="1:31" x14ac:dyDescent="0.45">
      <c r="A52" s="46">
        <v>11</v>
      </c>
      <c r="B52" s="45"/>
      <c r="C52" s="45"/>
      <c r="D52" s="45"/>
      <c r="E52" s="45"/>
      <c r="F52" s="44"/>
      <c r="G52" s="42" t="s">
        <v>157</v>
      </c>
      <c r="H52" s="42"/>
      <c r="I52" s="42"/>
      <c r="J52" s="43"/>
      <c r="K52" s="43" t="s">
        <v>23</v>
      </c>
      <c r="L52" s="43" t="s">
        <v>23</v>
      </c>
      <c r="M52" s="43"/>
      <c r="N52" s="42" t="s">
        <v>156</v>
      </c>
      <c r="O52" s="42"/>
      <c r="P52" s="42" t="s">
        <v>153</v>
      </c>
      <c r="Q52" s="42"/>
      <c r="R52" s="41">
        <v>0</v>
      </c>
      <c r="S52" s="44"/>
      <c r="T52" s="39">
        <v>2000</v>
      </c>
      <c r="U52" s="39">
        <v>0</v>
      </c>
      <c r="V52" s="38">
        <v>5</v>
      </c>
      <c r="W52" s="38"/>
      <c r="X52" s="38"/>
      <c r="Y52" s="47"/>
      <c r="Z52" s="47"/>
      <c r="AA52" s="47"/>
      <c r="AB52" s="47"/>
      <c r="AC52" s="47"/>
      <c r="AE52" s="12"/>
    </row>
    <row r="53" spans="1:31" ht="14.25" customHeight="1" x14ac:dyDescent="0.45">
      <c r="A53" s="46">
        <v>12</v>
      </c>
      <c r="B53" s="45"/>
      <c r="C53" s="45"/>
      <c r="D53" s="45"/>
      <c r="E53" s="45"/>
      <c r="F53" s="44"/>
      <c r="G53" s="42" t="s">
        <v>155</v>
      </c>
      <c r="H53" s="42"/>
      <c r="I53" s="42"/>
      <c r="J53" s="43"/>
      <c r="K53" s="43" t="s">
        <v>23</v>
      </c>
      <c r="L53" s="43" t="s">
        <v>23</v>
      </c>
      <c r="M53" s="43"/>
      <c r="N53" s="42" t="s">
        <v>154</v>
      </c>
      <c r="O53" s="42"/>
      <c r="P53" s="42" t="s">
        <v>153</v>
      </c>
      <c r="Q53" s="42"/>
      <c r="R53" s="41">
        <v>0</v>
      </c>
      <c r="S53" s="44"/>
      <c r="T53" s="39">
        <v>3600</v>
      </c>
      <c r="U53" s="39">
        <v>0</v>
      </c>
      <c r="V53" s="38">
        <v>12.6</v>
      </c>
      <c r="W53" s="38"/>
      <c r="X53" s="38"/>
      <c r="Y53" s="47"/>
      <c r="Z53" s="47"/>
      <c r="AA53" s="47"/>
      <c r="AB53" s="47"/>
      <c r="AC53" s="47"/>
      <c r="AE53" s="12"/>
    </row>
    <row r="54" spans="1:31" ht="14.25" customHeight="1" x14ac:dyDescent="0.45">
      <c r="A54" s="46">
        <v>13</v>
      </c>
      <c r="B54" s="45"/>
      <c r="C54" s="45"/>
      <c r="D54" s="45"/>
      <c r="E54" s="45"/>
      <c r="F54" s="44"/>
      <c r="G54" s="42" t="s">
        <v>152</v>
      </c>
      <c r="H54" s="42"/>
      <c r="I54" s="42"/>
      <c r="J54" s="43"/>
      <c r="K54" s="43" t="s">
        <v>23</v>
      </c>
      <c r="L54" s="43" t="s">
        <v>23</v>
      </c>
      <c r="M54" s="43"/>
      <c r="N54" s="42" t="s">
        <v>151</v>
      </c>
      <c r="O54" s="42"/>
      <c r="P54" s="42" t="s">
        <v>115</v>
      </c>
      <c r="Q54" s="42"/>
      <c r="R54" s="41">
        <v>0</v>
      </c>
      <c r="S54" s="44"/>
      <c r="T54" s="39">
        <v>0</v>
      </c>
      <c r="U54" s="39">
        <v>0</v>
      </c>
      <c r="V54" s="38">
        <v>6.5</v>
      </c>
      <c r="W54" s="38"/>
      <c r="X54" s="38"/>
      <c r="Y54" s="47"/>
      <c r="Z54" s="47"/>
      <c r="AA54" s="47"/>
      <c r="AB54" s="47"/>
      <c r="AC54" s="47"/>
      <c r="AE54" s="12"/>
    </row>
    <row r="55" spans="1:31" x14ac:dyDescent="0.45">
      <c r="A55" s="46">
        <v>14</v>
      </c>
      <c r="B55" s="45"/>
      <c r="C55" s="45"/>
      <c r="D55" s="45"/>
      <c r="E55" s="45"/>
      <c r="F55" s="44"/>
      <c r="G55" s="42" t="s">
        <v>150</v>
      </c>
      <c r="H55" s="42"/>
      <c r="I55" s="42"/>
      <c r="J55" s="43"/>
      <c r="K55" s="43" t="s">
        <v>23</v>
      </c>
      <c r="L55" s="43" t="s">
        <v>23</v>
      </c>
      <c r="M55" s="43"/>
      <c r="N55" s="42" t="s">
        <v>149</v>
      </c>
      <c r="O55" s="42"/>
      <c r="P55" s="42" t="s">
        <v>148</v>
      </c>
      <c r="Q55" s="42"/>
      <c r="R55" s="41">
        <v>5</v>
      </c>
      <c r="S55" s="40" t="s">
        <v>42</v>
      </c>
      <c r="T55" s="39">
        <v>4000</v>
      </c>
      <c r="U55" s="39">
        <v>0</v>
      </c>
      <c r="V55" s="38">
        <v>6.05</v>
      </c>
      <c r="W55" s="38"/>
      <c r="X55" s="38"/>
      <c r="Y55" s="37" t="s">
        <v>147</v>
      </c>
      <c r="Z55" s="37"/>
      <c r="AA55" s="37"/>
      <c r="AB55" s="37"/>
      <c r="AC55" s="37"/>
      <c r="AE55" s="12"/>
    </row>
    <row r="56" spans="1:31" ht="14.25" customHeight="1" x14ac:dyDescent="0.45">
      <c r="A56" s="46">
        <v>15</v>
      </c>
      <c r="B56" s="45"/>
      <c r="C56" s="45"/>
      <c r="D56" s="45"/>
      <c r="E56" s="45"/>
      <c r="F56" s="44"/>
      <c r="G56" s="42" t="s">
        <v>146</v>
      </c>
      <c r="H56" s="42"/>
      <c r="I56" s="42"/>
      <c r="J56" s="43"/>
      <c r="K56" s="43" t="s">
        <v>23</v>
      </c>
      <c r="L56" s="43" t="s">
        <v>23</v>
      </c>
      <c r="M56" s="43"/>
      <c r="N56" s="42" t="s">
        <v>145</v>
      </c>
      <c r="O56" s="42"/>
      <c r="P56" s="42" t="s">
        <v>144</v>
      </c>
      <c r="Q56" s="42"/>
      <c r="R56" s="41">
        <v>44</v>
      </c>
      <c r="S56" s="40" t="s">
        <v>143</v>
      </c>
      <c r="T56" s="39">
        <v>0</v>
      </c>
      <c r="U56" s="39">
        <v>0</v>
      </c>
      <c r="V56" s="38">
        <v>3</v>
      </c>
      <c r="W56" s="38"/>
      <c r="X56" s="38"/>
      <c r="Y56" s="37" t="s">
        <v>142</v>
      </c>
      <c r="Z56" s="37"/>
      <c r="AA56" s="37"/>
      <c r="AB56" s="37"/>
      <c r="AC56" s="37"/>
      <c r="AE56" s="12"/>
    </row>
    <row r="57" spans="1:31" ht="14.25" customHeight="1" x14ac:dyDescent="0.45">
      <c r="A57" s="46">
        <v>16</v>
      </c>
      <c r="B57" s="45"/>
      <c r="C57" s="45"/>
      <c r="D57" s="45"/>
      <c r="E57" s="45"/>
      <c r="F57" s="44"/>
      <c r="G57" s="42" t="s">
        <v>141</v>
      </c>
      <c r="H57" s="42"/>
      <c r="I57" s="42"/>
      <c r="J57" s="43"/>
      <c r="K57" s="43" t="s">
        <v>23</v>
      </c>
      <c r="L57" s="43" t="s">
        <v>23</v>
      </c>
      <c r="M57" s="43"/>
      <c r="N57" s="42" t="s">
        <v>140</v>
      </c>
      <c r="O57" s="42"/>
      <c r="P57" s="42" t="s">
        <v>139</v>
      </c>
      <c r="Q57" s="42"/>
      <c r="R57" s="41">
        <v>0</v>
      </c>
      <c r="S57" s="44"/>
      <c r="T57" s="39">
        <v>0</v>
      </c>
      <c r="U57" s="39">
        <v>0</v>
      </c>
      <c r="V57" s="38">
        <v>0.5</v>
      </c>
      <c r="W57" s="38"/>
      <c r="X57" s="38"/>
      <c r="Y57" s="47"/>
      <c r="Z57" s="47"/>
      <c r="AA57" s="47"/>
      <c r="AB57" s="47"/>
      <c r="AC57" s="47"/>
      <c r="AE57" s="12"/>
    </row>
    <row r="58" spans="1:31" ht="14.25" customHeight="1" x14ac:dyDescent="0.45">
      <c r="A58" s="46">
        <v>17</v>
      </c>
      <c r="B58" s="45"/>
      <c r="C58" s="45"/>
      <c r="D58" s="45"/>
      <c r="E58" s="45"/>
      <c r="F58" s="44"/>
      <c r="G58" s="42" t="s">
        <v>138</v>
      </c>
      <c r="H58" s="42"/>
      <c r="I58" s="42"/>
      <c r="J58" s="43"/>
      <c r="K58" s="43" t="s">
        <v>23</v>
      </c>
      <c r="L58" s="43" t="s">
        <v>23</v>
      </c>
      <c r="M58" s="43"/>
      <c r="N58" s="42" t="s">
        <v>137</v>
      </c>
      <c r="O58" s="42"/>
      <c r="P58" s="42" t="s">
        <v>136</v>
      </c>
      <c r="Q58" s="42"/>
      <c r="R58" s="41">
        <v>4</v>
      </c>
      <c r="S58" s="40" t="s">
        <v>42</v>
      </c>
      <c r="T58" s="39">
        <v>1810.2</v>
      </c>
      <c r="U58" s="39">
        <v>0</v>
      </c>
      <c r="V58" s="38">
        <v>5.2519999999999998</v>
      </c>
      <c r="W58" s="38"/>
      <c r="X58" s="38"/>
      <c r="Y58" s="37" t="s">
        <v>135</v>
      </c>
      <c r="Z58" s="37"/>
      <c r="AA58" s="37"/>
      <c r="AB58" s="37"/>
      <c r="AC58" s="37"/>
      <c r="AD58" s="11" t="s">
        <v>134</v>
      </c>
      <c r="AE58" s="12"/>
    </row>
    <row r="59" spans="1:31" x14ac:dyDescent="0.45">
      <c r="A59" s="50" t="s">
        <v>6</v>
      </c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49">
        <f>SUM(R18:R58)</f>
        <v>612</v>
      </c>
      <c r="S59" s="49"/>
      <c r="T59" s="39">
        <f>SUM(T18:T58)</f>
        <v>37963.069999999992</v>
      </c>
      <c r="U59" s="39">
        <f>SUM(U18:U58)</f>
        <v>30.396000000000001</v>
      </c>
      <c r="V59" s="38">
        <f>SUM(V18:X58)</f>
        <v>139.042</v>
      </c>
      <c r="W59" s="38"/>
      <c r="X59" s="38"/>
      <c r="Y59" s="48" t="s">
        <v>62</v>
      </c>
      <c r="Z59" s="48"/>
      <c r="AA59" s="48"/>
      <c r="AB59" s="48"/>
      <c r="AC59" s="48"/>
    </row>
  </sheetData>
  <mergeCells count="290">
    <mergeCell ref="A59:Q59"/>
    <mergeCell ref="R59:S59"/>
    <mergeCell ref="Y59:AC59"/>
    <mergeCell ref="V59:X59"/>
    <mergeCell ref="Y56:AC56"/>
    <mergeCell ref="Y57:AC57"/>
    <mergeCell ref="Y58:AC58"/>
    <mergeCell ref="V53:X53"/>
    <mergeCell ref="V54:X54"/>
    <mergeCell ref="V55:X55"/>
    <mergeCell ref="V56:X56"/>
    <mergeCell ref="V57:X57"/>
    <mergeCell ref="V58:X58"/>
    <mergeCell ref="Y55:AC55"/>
    <mergeCell ref="V44:X44"/>
    <mergeCell ref="V45:X45"/>
    <mergeCell ref="V46:X46"/>
    <mergeCell ref="V47:X47"/>
    <mergeCell ref="V48:X48"/>
    <mergeCell ref="V49:X49"/>
    <mergeCell ref="V50:X50"/>
    <mergeCell ref="V51:X51"/>
    <mergeCell ref="V52:X52"/>
    <mergeCell ref="Y44:AC44"/>
    <mergeCell ref="Y45:AC45"/>
    <mergeCell ref="Y46:AC46"/>
    <mergeCell ref="Y47:AC47"/>
    <mergeCell ref="Y50:AC50"/>
    <mergeCell ref="Y51:AC51"/>
    <mergeCell ref="Y52:AC52"/>
    <mergeCell ref="Y53:AC53"/>
    <mergeCell ref="Y54:AC54"/>
    <mergeCell ref="P42:Q42"/>
    <mergeCell ref="V42:X42"/>
    <mergeCell ref="V43:X43"/>
    <mergeCell ref="Y48:AC48"/>
    <mergeCell ref="Y49:AC49"/>
    <mergeCell ref="Y42:AC42"/>
    <mergeCell ref="Y43:AC43"/>
    <mergeCell ref="P58:Q58"/>
    <mergeCell ref="P47:Q47"/>
    <mergeCell ref="P48:Q48"/>
    <mergeCell ref="P49:Q49"/>
    <mergeCell ref="P50:Q50"/>
    <mergeCell ref="P51:Q51"/>
    <mergeCell ref="P52:Q52"/>
    <mergeCell ref="P53:Q53"/>
    <mergeCell ref="P54:Q54"/>
    <mergeCell ref="P55:Q55"/>
    <mergeCell ref="N42:O42"/>
    <mergeCell ref="N43:O43"/>
    <mergeCell ref="N44:O44"/>
    <mergeCell ref="N45:O45"/>
    <mergeCell ref="N46:O46"/>
    <mergeCell ref="P43:Q43"/>
    <mergeCell ref="P44:Q44"/>
    <mergeCell ref="P45:Q45"/>
    <mergeCell ref="P46:Q46"/>
    <mergeCell ref="G57:I57"/>
    <mergeCell ref="N47:O47"/>
    <mergeCell ref="N48:O48"/>
    <mergeCell ref="N49:O49"/>
    <mergeCell ref="N50:O50"/>
    <mergeCell ref="N51:O51"/>
    <mergeCell ref="N52:O52"/>
    <mergeCell ref="N53:O53"/>
    <mergeCell ref="N54:O54"/>
    <mergeCell ref="P56:Q56"/>
    <mergeCell ref="P57:Q57"/>
    <mergeCell ref="N57:O57"/>
    <mergeCell ref="N58:O58"/>
    <mergeCell ref="B57:E57"/>
    <mergeCell ref="B58:E58"/>
    <mergeCell ref="G42:I42"/>
    <mergeCell ref="G43:I43"/>
    <mergeCell ref="G44:I44"/>
    <mergeCell ref="G45:I45"/>
    <mergeCell ref="G46:I46"/>
    <mergeCell ref="G47:I47"/>
    <mergeCell ref="G48:I48"/>
    <mergeCell ref="G49:I49"/>
    <mergeCell ref="G50:I50"/>
    <mergeCell ref="G51:I51"/>
    <mergeCell ref="G52:I52"/>
    <mergeCell ref="G58:I58"/>
    <mergeCell ref="G53:I53"/>
    <mergeCell ref="G54:I54"/>
    <mergeCell ref="G55:I55"/>
    <mergeCell ref="G56:I56"/>
    <mergeCell ref="N55:O55"/>
    <mergeCell ref="N56:O56"/>
    <mergeCell ref="B52:E52"/>
    <mergeCell ref="B53:E53"/>
    <mergeCell ref="B54:E54"/>
    <mergeCell ref="B55:E55"/>
    <mergeCell ref="B56:E56"/>
    <mergeCell ref="B47:E47"/>
    <mergeCell ref="B48:E48"/>
    <mergeCell ref="B49:E49"/>
    <mergeCell ref="B50:E50"/>
    <mergeCell ref="B51:E51"/>
    <mergeCell ref="B42:E42"/>
    <mergeCell ref="B43:E43"/>
    <mergeCell ref="B44:E44"/>
    <mergeCell ref="B45:E45"/>
    <mergeCell ref="B46:E46"/>
    <mergeCell ref="Y40:AC40"/>
    <mergeCell ref="Y41:AC41"/>
    <mergeCell ref="V41:X41"/>
    <mergeCell ref="Y21:AC21"/>
    <mergeCell ref="Y22:AC22"/>
    <mergeCell ref="Y23:AC23"/>
    <mergeCell ref="Y24:AC24"/>
    <mergeCell ref="Y25:AC25"/>
    <mergeCell ref="Y26:AC26"/>
    <mergeCell ref="Y27:AC27"/>
    <mergeCell ref="Y28:AC28"/>
    <mergeCell ref="Y29:AC29"/>
    <mergeCell ref="Y30:AC30"/>
    <mergeCell ref="Y31:AC31"/>
    <mergeCell ref="Y32:AC32"/>
    <mergeCell ref="Y33:AC33"/>
    <mergeCell ref="Y37:AC37"/>
    <mergeCell ref="Y38:AC38"/>
    <mergeCell ref="Y39:AC39"/>
    <mergeCell ref="V32:X32"/>
    <mergeCell ref="V33:X33"/>
    <mergeCell ref="V34:X34"/>
    <mergeCell ref="V35:X35"/>
    <mergeCell ref="V36:X36"/>
    <mergeCell ref="V37:X37"/>
    <mergeCell ref="V38:X38"/>
    <mergeCell ref="V39:X39"/>
    <mergeCell ref="Y34:AC34"/>
    <mergeCell ref="Y35:AC35"/>
    <mergeCell ref="Y36:AC36"/>
    <mergeCell ref="P41:Q41"/>
    <mergeCell ref="V21:X21"/>
    <mergeCell ref="V22:X22"/>
    <mergeCell ref="V40:X40"/>
    <mergeCell ref="V23:X23"/>
    <mergeCell ref="V24:X24"/>
    <mergeCell ref="V25:X25"/>
    <mergeCell ref="V26:X26"/>
    <mergeCell ref="V27:X27"/>
    <mergeCell ref="V28:X28"/>
    <mergeCell ref="V29:X29"/>
    <mergeCell ref="V30:X30"/>
    <mergeCell ref="V31:X31"/>
    <mergeCell ref="P36:Q36"/>
    <mergeCell ref="P37:Q37"/>
    <mergeCell ref="P38:Q38"/>
    <mergeCell ref="P39:Q39"/>
    <mergeCell ref="P40:Q40"/>
    <mergeCell ref="N41:O41"/>
    <mergeCell ref="P21:Q21"/>
    <mergeCell ref="P22:Q22"/>
    <mergeCell ref="P23:Q23"/>
    <mergeCell ref="P24:Q24"/>
    <mergeCell ref="P25:Q25"/>
    <mergeCell ref="P26:Q26"/>
    <mergeCell ref="P27:Q27"/>
    <mergeCell ref="P28:Q28"/>
    <mergeCell ref="P29:Q29"/>
    <mergeCell ref="P30:Q30"/>
    <mergeCell ref="P31:Q31"/>
    <mergeCell ref="P32:Q32"/>
    <mergeCell ref="P33:Q33"/>
    <mergeCell ref="P34:Q34"/>
    <mergeCell ref="P35:Q35"/>
    <mergeCell ref="N36:O36"/>
    <mergeCell ref="N37:O37"/>
    <mergeCell ref="N38:O38"/>
    <mergeCell ref="N39:O39"/>
    <mergeCell ref="N40:O40"/>
    <mergeCell ref="G41:I41"/>
    <mergeCell ref="N21:O21"/>
    <mergeCell ref="N22:O22"/>
    <mergeCell ref="N23:O23"/>
    <mergeCell ref="N24:O24"/>
    <mergeCell ref="N25:O25"/>
    <mergeCell ref="N26:O26"/>
    <mergeCell ref="N27:O27"/>
    <mergeCell ref="N28:O28"/>
    <mergeCell ref="N29:O29"/>
    <mergeCell ref="N30:O30"/>
    <mergeCell ref="N31:O31"/>
    <mergeCell ref="N32:O32"/>
    <mergeCell ref="N33:O33"/>
    <mergeCell ref="N34:O34"/>
    <mergeCell ref="N35:O35"/>
    <mergeCell ref="G36:I36"/>
    <mergeCell ref="G37:I37"/>
    <mergeCell ref="G38:I38"/>
    <mergeCell ref="G39:I39"/>
    <mergeCell ref="G40:I40"/>
    <mergeCell ref="B41:E41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G31:I31"/>
    <mergeCell ref="G32:I32"/>
    <mergeCell ref="G33:I33"/>
    <mergeCell ref="G34:I34"/>
    <mergeCell ref="G35:I35"/>
    <mergeCell ref="B36:E36"/>
    <mergeCell ref="B37:E37"/>
    <mergeCell ref="B38:E38"/>
    <mergeCell ref="B39:E39"/>
    <mergeCell ref="B40:E40"/>
    <mergeCell ref="B31:E31"/>
    <mergeCell ref="B32:E32"/>
    <mergeCell ref="B33:E33"/>
    <mergeCell ref="B34:E34"/>
    <mergeCell ref="B35:E35"/>
    <mergeCell ref="B26:E26"/>
    <mergeCell ref="B27:E27"/>
    <mergeCell ref="B28:E28"/>
    <mergeCell ref="B29:E29"/>
    <mergeCell ref="B30:E30"/>
    <mergeCell ref="B21:E21"/>
    <mergeCell ref="B22:E22"/>
    <mergeCell ref="B23:E23"/>
    <mergeCell ref="B24:E24"/>
    <mergeCell ref="B25:E25"/>
    <mergeCell ref="A2:B5"/>
    <mergeCell ref="A8:AB8"/>
    <mergeCell ref="A9:AB11"/>
    <mergeCell ref="A13:D13"/>
    <mergeCell ref="A14:D14"/>
    <mergeCell ref="D2:U3"/>
    <mergeCell ref="D5:U6"/>
    <mergeCell ref="E13:G13"/>
    <mergeCell ref="E14:K14"/>
    <mergeCell ref="I13:S13"/>
    <mergeCell ref="L14:N14"/>
    <mergeCell ref="V2:AC2"/>
    <mergeCell ref="V3:V6"/>
    <mergeCell ref="V13:AC13"/>
    <mergeCell ref="V14:AC14"/>
    <mergeCell ref="A15:D15"/>
    <mergeCell ref="A16:D16"/>
    <mergeCell ref="B17:E17"/>
    <mergeCell ref="B18:E18"/>
    <mergeCell ref="B19:E19"/>
    <mergeCell ref="B20:E20"/>
    <mergeCell ref="E15:K15"/>
    <mergeCell ref="E16:K16"/>
    <mergeCell ref="G17:I17"/>
    <mergeCell ref="G18:I18"/>
    <mergeCell ref="G19:I19"/>
    <mergeCell ref="G20:I20"/>
    <mergeCell ref="L15:N15"/>
    <mergeCell ref="L16:N16"/>
    <mergeCell ref="N17:O17"/>
    <mergeCell ref="N18:O18"/>
    <mergeCell ref="N19:O19"/>
    <mergeCell ref="N20:O20"/>
    <mergeCell ref="O14:S14"/>
    <mergeCell ref="O15:P15"/>
    <mergeCell ref="O16:S16"/>
    <mergeCell ref="P17:Q17"/>
    <mergeCell ref="P18:Q18"/>
    <mergeCell ref="P19:Q19"/>
    <mergeCell ref="P20:Q20"/>
    <mergeCell ref="Q15:S15"/>
    <mergeCell ref="R17:S17"/>
    <mergeCell ref="T13:U13"/>
    <mergeCell ref="T14:U14"/>
    <mergeCell ref="T15:U15"/>
    <mergeCell ref="T16:U16"/>
    <mergeCell ref="V20:X20"/>
    <mergeCell ref="W3:W6"/>
    <mergeCell ref="X3:AC6"/>
    <mergeCell ref="Y17:AC17"/>
    <mergeCell ref="Y18:AC18"/>
    <mergeCell ref="Y19:AC19"/>
    <mergeCell ref="Y20:AC20"/>
    <mergeCell ref="V15:AC15"/>
    <mergeCell ref="V16:AC16"/>
    <mergeCell ref="V17:X17"/>
    <mergeCell ref="V18:X18"/>
    <mergeCell ref="V19:X19"/>
  </mergeCells>
  <phoneticPr fontId="3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PC208</dc:creator>
  <cp:lastModifiedBy>노블코코 해운대</cp:lastModifiedBy>
  <dcterms:created xsi:type="dcterms:W3CDTF">2026-05-07T05:53:38Z</dcterms:created>
  <dcterms:modified xsi:type="dcterms:W3CDTF">2026-05-11T10:40:02Z</dcterms:modified>
</cp:coreProperties>
</file>