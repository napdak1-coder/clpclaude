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pda\OneDrive\문서\네이트온 받은 파일\네번째\"/>
    </mc:Choice>
  </mc:AlternateContent>
  <xr:revisionPtr revIDLastSave="0" documentId="13_ncr:1_{B9878C90-BC18-432D-87AE-3B99DEC8EF26}" xr6:coauthVersionLast="47" xr6:coauthVersionMax="47" xr10:uidLastSave="{00000000-0000-0000-0000-000000000000}"/>
  <bookViews>
    <workbookView xWindow="1898" yWindow="2430" windowWidth="27937" windowHeight="1845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2" i="1" l="1"/>
  <c r="R72" i="1"/>
  <c r="U72" i="1"/>
  <c r="T72" i="1"/>
</calcChain>
</file>

<file path=xl/sharedStrings.xml><?xml version="1.0" encoding="utf-8"?>
<sst xmlns="http://schemas.openxmlformats.org/spreadsheetml/2006/main" count="529" uniqueCount="239">
  <si>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</si>
  <si>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</si>
  <si>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</si>
  <si>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</si>
  <si>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</si>
  <si>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</si>
  <si>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</si>
  <si>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</si>
  <si>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FBSIN260418</t>
  </si>
  <si>
    <t>FBSIN260419</t>
  </si>
  <si>
    <t>FBSIN260435</t>
  </si>
  <si>
    <t>FBSIN260440</t>
  </si>
  <si>
    <t>FBSIN260452</t>
  </si>
  <si>
    <t>FBSIN260464</t>
  </si>
  <si>
    <t>FBSIN260465</t>
  </si>
  <si>
    <t>FBSIN260470</t>
  </si>
  <si>
    <t>FBSIN260472</t>
  </si>
  <si>
    <t>FBSIN260474</t>
  </si>
  <si>
    <t>FBSIN260475</t>
  </si>
  <si>
    <t>FBSIN260484</t>
  </si>
  <si>
    <t>FBSIN260487</t>
  </si>
  <si>
    <t>FBSIN260489</t>
  </si>
  <si>
    <t>FBSIN260490</t>
  </si>
  <si>
    <t>FBSIN260492</t>
  </si>
  <si>
    <t>FBSIN260495</t>
  </si>
  <si>
    <t>FBSIN260499</t>
  </si>
  <si>
    <t>FBSIN260502</t>
  </si>
  <si>
    <t>페어콘라인㈜</t>
  </si>
  <si>
    <t>서울특별시 중구 을지로 16(을지로 1가, 백남빌딩 11층)</t>
  </si>
  <si>
    <t>ABSG2600016-1</t>
  </si>
  <si>
    <t>SINOKOR MERCHANT MARINE CO., LTD.</t>
  </si>
  <si>
    <t>TIANJIN VOYAGER  / 2604S</t>
  </si>
  <si>
    <t>페어허브물류 주식회사</t>
  </si>
  <si>
    <t>DEST</t>
  </si>
  <si>
    <t>KARACHI, PAKISTAN</t>
  </si>
  <si>
    <t>KOTA KINABALU, MALAYSIA</t>
  </si>
  <si>
    <t>YANGON, MYANMAR</t>
  </si>
  <si>
    <t>Booking No</t>
  </si>
  <si>
    <t xml:space="preserve">P.O.D : </t>
  </si>
  <si>
    <t>SINGAPORE</t>
  </si>
  <si>
    <t>차수</t>
  </si>
  <si>
    <t>H/B</t>
  </si>
  <si>
    <t/>
  </si>
  <si>
    <t>SIZE</t>
  </si>
  <si>
    <t>ETD/ETA</t>
  </si>
  <si>
    <t>창고담당자</t>
  </si>
  <si>
    <t>E/P</t>
  </si>
  <si>
    <t>N</t>
  </si>
  <si>
    <t>Y</t>
  </si>
  <si>
    <t>실화주</t>
  </si>
  <si>
    <t>나토</t>
  </si>
  <si>
    <t>CNS</t>
  </si>
  <si>
    <t>무등</t>
  </si>
  <si>
    <t>수일</t>
  </si>
  <si>
    <t>YKMC</t>
  </si>
  <si>
    <t>삼화전기</t>
  </si>
  <si>
    <t>직방</t>
  </si>
  <si>
    <t>KPF</t>
  </si>
  <si>
    <t>에어뱅크</t>
  </si>
  <si>
    <t>대풍건설</t>
  </si>
  <si>
    <t>코스모신소재</t>
  </si>
  <si>
    <t>나은이앤지</t>
  </si>
  <si>
    <t>KUK DONG HOIST</t>
  </si>
  <si>
    <t>TP(코리아실크로드)</t>
  </si>
  <si>
    <t>세방에스비</t>
  </si>
  <si>
    <t>위너스마린</t>
  </si>
  <si>
    <t>맥테크</t>
  </si>
  <si>
    <t>워터피이</t>
  </si>
  <si>
    <t>SY INT'L</t>
  </si>
  <si>
    <t>40HQ</t>
  </si>
  <si>
    <t>2026-05-01</t>
  </si>
  <si>
    <t>정경일대리님</t>
  </si>
  <si>
    <t xml:space="preserve">화주 </t>
  </si>
  <si>
    <t xml:space="preserve">N/CTC SEA &amp; AIR  / </t>
  </si>
  <si>
    <t xml:space="preserve">FCA N/제이에스엘 / </t>
  </si>
  <si>
    <t xml:space="preserve">선진로지스틱스 광주 / </t>
  </si>
  <si>
    <t xml:space="preserve">(주)비전해운항공/찬의 / </t>
  </si>
  <si>
    <t xml:space="preserve">FCA N/퀴네 / </t>
  </si>
  <si>
    <t xml:space="preserve">N/월드로드항공해운 / </t>
  </si>
  <si>
    <t xml:space="preserve">N/제이월드  / </t>
  </si>
  <si>
    <t xml:space="preserve">N/ANS INT'L LOGISTICS / </t>
  </si>
  <si>
    <t xml:space="preserve">FCA N/에어뱅크 / </t>
  </si>
  <si>
    <t xml:space="preserve">N/대풍건설  / </t>
  </si>
  <si>
    <t xml:space="preserve">N/AWOT  / </t>
  </si>
  <si>
    <t xml:space="preserve">FSK  / </t>
  </si>
  <si>
    <t xml:space="preserve">EXW N/KUK DONG HOIST  / </t>
  </si>
  <si>
    <t xml:space="preserve">유수 / </t>
  </si>
  <si>
    <t xml:space="preserve">N/OEC / </t>
  </si>
  <si>
    <t xml:space="preserve">일양 정선영 / </t>
  </si>
  <si>
    <t xml:space="preserve">주식회사 로지싱크 / </t>
  </si>
  <si>
    <t xml:space="preserve">R&amp;F 이재호 / </t>
  </si>
  <si>
    <t xml:space="preserve">글로브 / </t>
  </si>
  <si>
    <t>2026-05-08</t>
  </si>
  <si>
    <t>Q'TY</t>
  </si>
  <si>
    <t>PL</t>
  </si>
  <si>
    <t>PK</t>
  </si>
  <si>
    <t>CR</t>
  </si>
  <si>
    <t>WB</t>
  </si>
  <si>
    <t>CS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</si>
  <si>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</si>
  <si>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</si>
  <si>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</si>
  <si>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</si>
  <si>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</si>
  <si>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</si>
  <si>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</si>
  <si>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</si>
  <si>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SNKO010260403265</t>
  </si>
  <si>
    <t>HLHU6400269 / 244691</t>
  </si>
  <si>
    <t>동원글로벌터미널부산(주) (03077135)</t>
  </si>
  <si>
    <t>접안:2026-05-01 07:00</t>
  </si>
  <si>
    <t>ABOUT</t>
  </si>
  <si>
    <t>:</t>
  </si>
  <si>
    <t>02-772-2602</t>
  </si>
  <si>
    <t>REMARK</t>
  </si>
  <si>
    <t>119x113x128(2) , 119x119x128(2)</t>
  </si>
  <si>
    <t>112x112x99(1) , 115x110x61(1)</t>
  </si>
  <si>
    <t>1670*1170*1340</t>
  </si>
  <si>
    <t>68x66x26(10) , 117x115x33(10)</t>
  </si>
  <si>
    <t>*쉬핑마크보이게입고사진촬영* 110*110*110</t>
  </si>
  <si>
    <t>94*105*50</t>
  </si>
  <si>
    <t>110*110*120</t>
  </si>
  <si>
    <t>148*113*84</t>
  </si>
  <si>
    <t>110*110*181</t>
  </si>
  <si>
    <t>133*69*55</t>
  </si>
  <si>
    <t>63*45*52</t>
  </si>
  <si>
    <t>110x110x108(1)</t>
  </si>
  <si>
    <t>110x99x49(1)</t>
  </si>
  <si>
    <t>110x110x93(1) , 110x110x95(1)  / GPUSSIND2602115</t>
  </si>
  <si>
    <t>VGM :                   KGS</t>
  </si>
  <si>
    <t>2026-05-07</t>
  </si>
  <si>
    <t>1/1</t>
  </si>
  <si>
    <r>
      <rPr>
        <sz val="11"/>
        <color rgb="FF000000"/>
        <rFont val="돋움"/>
        <family val="3"/>
        <charset val="129"/>
      </rPr>
      <t>입고된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</t>
    </r>
    <r>
      <rPr>
        <sz val="11"/>
        <color rgb="FF000000"/>
        <rFont val="Calibri"/>
        <family val="2"/>
      </rPr>
      <t xml:space="preserve"> 60CBM </t>
    </r>
    <r>
      <rPr>
        <sz val="11"/>
        <color rgb="FF000000"/>
        <rFont val="돋움"/>
        <family val="3"/>
        <charset val="129"/>
      </rPr>
      <t>가까이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돼서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몰아넣음</t>
    </r>
    <phoneticPr fontId="33" type="noConversion"/>
  </si>
  <si>
    <t xml:space="preserve">110*110*95, 110*110*124 </t>
    <phoneticPr fontId="33" type="noConversion"/>
  </si>
  <si>
    <r>
      <rPr>
        <sz val="11"/>
        <color rgb="FF000000"/>
        <rFont val="돋움"/>
        <family val="3"/>
        <charset val="129"/>
      </rPr>
      <t>길이가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길어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올리면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좋음</t>
    </r>
    <r>
      <rPr>
        <sz val="11"/>
        <color rgb="FF000000"/>
        <rFont val="Calibri"/>
        <family val="2"/>
      </rPr>
      <t xml:space="preserve">  EX </t>
    </r>
    <r>
      <rPr>
        <sz val="11"/>
        <color rgb="FF000000"/>
        <rFont val="돋움"/>
        <family val="3"/>
        <charset val="129"/>
      </rPr>
      <t>대풍건설</t>
    </r>
    <phoneticPr fontId="33" type="noConversion"/>
  </si>
  <si>
    <t xml:space="preserve">113*113*165 </t>
    <phoneticPr fontId="33" type="noConversion"/>
  </si>
  <si>
    <t>*다단금지/ 100x100x90(1)</t>
    <phoneticPr fontId="33" type="noConversion"/>
  </si>
  <si>
    <r>
      <rPr>
        <sz val="11"/>
        <color rgb="FF000000"/>
        <rFont val="돋움"/>
        <family val="3"/>
        <charset val="129"/>
      </rPr>
      <t>폭</t>
    </r>
    <r>
      <rPr>
        <sz val="11"/>
        <color rgb="FF000000"/>
        <rFont val="Calibri"/>
        <family val="2"/>
      </rPr>
      <t xml:space="preserve"> 68CM</t>
    </r>
    <r>
      <rPr>
        <sz val="11"/>
        <color rgb="FF000000"/>
        <rFont val="돋움"/>
        <family val="3"/>
        <charset val="129"/>
      </rPr>
      <t>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무게가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개당</t>
    </r>
    <r>
      <rPr>
        <sz val="11"/>
        <color rgb="FF000000"/>
        <rFont val="Calibri"/>
        <family val="2"/>
      </rPr>
      <t xml:space="preserve"> 44KG </t>
    </r>
    <r>
      <rPr>
        <sz val="11"/>
        <color rgb="FF000000"/>
        <rFont val="돋움"/>
        <family val="3"/>
        <charset val="129"/>
      </rPr>
      <t>밖에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높이</t>
    </r>
    <r>
      <rPr>
        <sz val="11"/>
        <color rgb="FF000000"/>
        <rFont val="Calibri"/>
        <family val="2"/>
      </rPr>
      <t xml:space="preserve"> 268 CM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쌓음</t>
    </r>
    <phoneticPr fontId="33" type="noConversion"/>
  </si>
  <si>
    <r>
      <rPr>
        <sz val="11"/>
        <color rgb="FF000000"/>
        <rFont val="돋움"/>
        <family val="3"/>
        <charset val="129"/>
      </rPr>
      <t>길이가</t>
    </r>
    <r>
      <rPr>
        <sz val="11"/>
        <color rgb="FF000000"/>
        <rFont val="Calibri"/>
        <family val="2"/>
      </rPr>
      <t xml:space="preserve"> 133CM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기니까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쌓거나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좋음</t>
    </r>
    <r>
      <rPr>
        <sz val="11"/>
        <color rgb="FF000000"/>
        <rFont val="Calibri"/>
        <family val="2"/>
      </rPr>
      <t xml:space="preserve"> </t>
    </r>
    <phoneticPr fontId="33" type="noConversion"/>
  </si>
  <si>
    <r>
      <rPr>
        <sz val="11"/>
        <color rgb="FF000000"/>
        <rFont val="돋움"/>
        <family val="3"/>
        <charset val="129"/>
      </rPr>
      <t>무게가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무거워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절대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금지</t>
    </r>
    <r>
      <rPr>
        <sz val="11"/>
        <color rgb="FF000000"/>
        <rFont val="Calibri"/>
        <family val="2"/>
      </rPr>
      <t xml:space="preserve"> </t>
    </r>
    <phoneticPr fontId="33" type="noConversion"/>
  </si>
  <si>
    <t>86x59x43(1)</t>
  </si>
  <si>
    <t>FBSIN260488</t>
  </si>
  <si>
    <t>41x31x29(1) , 43x43x39(1) , 90x83x73(1)</t>
  </si>
  <si>
    <t>동방기계</t>
  </si>
  <si>
    <t>FBSIN260482</t>
  </si>
  <si>
    <t>75x69x66(2) , 76x76x46(1)</t>
  </si>
  <si>
    <t>CT</t>
  </si>
  <si>
    <t xml:space="preserve">KIF / </t>
  </si>
  <si>
    <t>DSR WIRE CORP</t>
  </si>
  <si>
    <t>FBSIN260479</t>
  </si>
  <si>
    <t>78x78x53(1) , 80x80x60(2) , 112x112x45(2) , 112x112x49(2) , 112x112x74(2)</t>
  </si>
  <si>
    <t>149*118*95</t>
  </si>
  <si>
    <t xml:space="preserve">태웅로직스 / </t>
  </si>
  <si>
    <t>광명산업</t>
  </si>
  <si>
    <t>FBSIN260476</t>
  </si>
  <si>
    <t>KUCHING, MALAYSIA</t>
  </si>
  <si>
    <t>500*380*380MM</t>
    <phoneticPr fontId="33" type="noConversion"/>
  </si>
  <si>
    <t>BX</t>
  </si>
  <si>
    <t xml:space="preserve">이앤에스로지스틱스 주식회사/찬의 / </t>
  </si>
  <si>
    <t>훌루테크</t>
  </si>
  <si>
    <t>FBSIN260473</t>
  </si>
  <si>
    <t>121*120*114</t>
  </si>
  <si>
    <t xml:space="preserve">N/아이피아코스메틱  / </t>
  </si>
  <si>
    <t>IPIA COSMETICS</t>
  </si>
  <si>
    <t>FBSIN260468</t>
  </si>
  <si>
    <r>
      <rPr>
        <sz val="11"/>
        <color rgb="FF000000"/>
        <rFont val="돋움"/>
        <family val="3"/>
        <charset val="129"/>
      </rPr>
      <t>높이가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쌓을수있는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제한적임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삼성전자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쌓음</t>
    </r>
    <phoneticPr fontId="33" type="noConversion"/>
  </si>
  <si>
    <t>110x110x74(1) , 110x110x157(1) , 110x110x159(1) , 110x110x165(2) , 110x110x168(1) , 112x110x150(1) , 112x112x170(1) , 114x112x170(1)</t>
  </si>
  <si>
    <t xml:space="preserve">N/베베쿡 / </t>
  </si>
  <si>
    <t>베베쿡</t>
  </si>
  <si>
    <t>FBSIN260455</t>
  </si>
  <si>
    <r>
      <rPr>
        <sz val="11"/>
        <color rgb="FF000000"/>
        <rFont val="돋움"/>
        <family val="3"/>
        <charset val="129"/>
      </rPr>
      <t>가로길이</t>
    </r>
    <r>
      <rPr>
        <sz val="11"/>
        <color rgb="FF000000"/>
        <rFont val="Calibri"/>
        <family val="2"/>
      </rPr>
      <t xml:space="preserve"> 78CM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쌓을수있음</t>
    </r>
    <phoneticPr fontId="33" type="noConversion"/>
  </si>
  <si>
    <t xml:space="preserve"> 78x72x54(15) </t>
    <phoneticPr fontId="33" type="noConversion"/>
  </si>
  <si>
    <t>FBSIN260451</t>
  </si>
  <si>
    <t>FBSIN260448</t>
  </si>
  <si>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폭이</t>
    </r>
    <r>
      <rPr>
        <sz val="11"/>
        <color rgb="FF000000"/>
        <rFont val="Calibri"/>
        <family val="2"/>
      </rPr>
      <t xml:space="preserve"> 68CM 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위너스마린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동방기계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넣으면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됨</t>
    </r>
    <phoneticPr fontId="33" type="noConversion"/>
  </si>
  <si>
    <t>261*166*181</t>
    <phoneticPr fontId="33" type="noConversion"/>
  </si>
  <si>
    <r>
      <t>W</t>
    </r>
    <r>
      <rPr>
        <sz val="8"/>
        <color rgb="FF000000"/>
        <rFont val="맑은 고딕"/>
        <family val="3"/>
        <charset val="129"/>
      </rPr>
      <t>C</t>
    </r>
    <phoneticPr fontId="33" type="noConversion"/>
  </si>
  <si>
    <t xml:space="preserve">FCA N/MNCI / </t>
  </si>
  <si>
    <t>MNCI **반송**</t>
  </si>
  <si>
    <t>FBSIN260437</t>
  </si>
  <si>
    <t>116*116*156</t>
  </si>
  <si>
    <t xml:space="preserve">FCA N/국보해운 / </t>
  </si>
  <si>
    <t>LS BUILDWIN LTD.</t>
  </si>
  <si>
    <t>FBSIN260430</t>
  </si>
  <si>
    <t>111*66*47</t>
  </si>
  <si>
    <t xml:space="preserve">우진글로벌  / </t>
  </si>
  <si>
    <t>삼성전자</t>
  </si>
  <si>
    <t>FBSIN260398</t>
  </si>
  <si>
    <t>KOLKATA</t>
  </si>
  <si>
    <t>111*66*80</t>
  </si>
  <si>
    <t>111*111*80</t>
  </si>
  <si>
    <t>110*110*117</t>
  </si>
  <si>
    <t xml:space="preserve">N/하이웨이로지스틱  / </t>
  </si>
  <si>
    <t>스킨렉스</t>
  </si>
  <si>
    <t>FBSIN260478</t>
  </si>
  <si>
    <t>159*82*136, 114*99*127</t>
  </si>
  <si>
    <t xml:space="preserve">우진글로벌 / </t>
  </si>
  <si>
    <t>FBSIN260467</t>
  </si>
  <si>
    <t>*상단/작업주의*/ 92*65*106</t>
  </si>
  <si>
    <t xml:space="preserve">한큐한신 / </t>
  </si>
  <si>
    <t>서울금속(한큐한신)*상단/작업주의*</t>
  </si>
  <si>
    <t>FBSIN260461</t>
  </si>
  <si>
    <t>72*67*36, 112*117*58x2 / 운송료 17만원화주청구</t>
  </si>
  <si>
    <t xml:space="preserve">N/디에스상사  / </t>
  </si>
  <si>
    <t>디에스상사</t>
  </si>
  <si>
    <t>FBSIN260447</t>
  </si>
  <si>
    <t>110*110*47</t>
  </si>
  <si>
    <t xml:space="preserve">N/동아베스텍 / </t>
  </si>
  <si>
    <t>동아베스텍</t>
  </si>
  <si>
    <t>FBSIN260443</t>
  </si>
  <si>
    <t>110*110*125, 110*110*143</t>
  </si>
  <si>
    <t xml:space="preserve">N/나라켐 / </t>
  </si>
  <si>
    <t>나라켐</t>
  </si>
  <si>
    <t>FBSIN260438</t>
  </si>
  <si>
    <t>107*107*95, 107*107*115</t>
  </si>
  <si>
    <t xml:space="preserve">(주)반도텍B / </t>
  </si>
  <si>
    <t>반도텍</t>
  </si>
  <si>
    <t>FBSIN260436</t>
  </si>
  <si>
    <r>
      <rPr>
        <sz val="11"/>
        <color rgb="FF000000"/>
        <rFont val="돋움"/>
        <family val="3"/>
        <charset val="129"/>
      </rPr>
      <t>가로길이</t>
    </r>
    <r>
      <rPr>
        <sz val="11"/>
        <color rgb="FF000000"/>
        <rFont val="Calibri"/>
        <family val="2"/>
      </rPr>
      <t xml:space="preserve"> 119</t>
    </r>
    <r>
      <rPr>
        <sz val="11"/>
        <color rgb="FF000000"/>
        <rFont val="돋움"/>
        <family val="3"/>
        <charset val="129"/>
      </rPr>
      <t>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옆화물</t>
    </r>
    <r>
      <rPr>
        <sz val="11"/>
        <color rgb="FF000000"/>
        <rFont val="Calibri"/>
        <family val="2"/>
      </rPr>
      <t xml:space="preserve"> 115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못두지만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다단으로는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쌓음</t>
    </r>
    <phoneticPr fontId="33" type="noConversion"/>
  </si>
  <si>
    <r>
      <rPr>
        <sz val="7"/>
        <color rgb="FFFF0000"/>
        <rFont val="맑은 고딕"/>
        <family val="3"/>
        <charset val="129"/>
      </rPr>
      <t>119*119*128X5</t>
    </r>
    <r>
      <rPr>
        <sz val="7"/>
        <color rgb="FF000000"/>
        <rFont val="맑은 고딕"/>
        <family val="3"/>
        <charset val="129"/>
      </rPr>
      <t>, 119*116*128X3</t>
    </r>
    <phoneticPr fontId="33" type="noConversion"/>
  </si>
  <si>
    <t>나토상사</t>
  </si>
  <si>
    <t>FBSIN260434</t>
  </si>
  <si>
    <t>운송료 12만원화주청구/</t>
  </si>
  <si>
    <t xml:space="preserve">N/코오롱  / </t>
  </si>
  <si>
    <t>코오롱(SUPERTRAIN)</t>
  </si>
  <si>
    <t>FBSIN260433</t>
  </si>
  <si>
    <t xml:space="preserve">N/CMOS / </t>
  </si>
  <si>
    <t>CMOS CDC</t>
  </si>
  <si>
    <t>FBSIN260432</t>
  </si>
  <si>
    <t>120*110*85, 120*110*97X2</t>
  </si>
  <si>
    <t>CMOS 삼화정밀</t>
  </si>
  <si>
    <t>113*110*130</t>
  </si>
  <si>
    <t>CMOS 대림바스</t>
  </si>
  <si>
    <t>110*110*158</t>
  </si>
  <si>
    <t>CMOS 호성이레테</t>
  </si>
  <si>
    <t>95*72*114</t>
  </si>
  <si>
    <t>CMOS 청강</t>
  </si>
  <si>
    <r>
      <t>119x114x128(1) ,</t>
    </r>
    <r>
      <rPr>
        <sz val="7"/>
        <color rgb="FFFF0000"/>
        <rFont val="맑은 고딕"/>
        <family val="3"/>
        <charset val="129"/>
      </rPr>
      <t xml:space="preserve"> 119x119x128(8)</t>
    </r>
    <phoneticPr fontId="33" type="noConversion"/>
  </si>
  <si>
    <t>FBSIN260416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</si>
</sst>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  <font>
      <sz val="7"/>
      <color rgb="FFFF0000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49" fontId="15" fillId="16" borderId="16" xfId="0" applyNumberFormat="1" applyFont="1" applyFill="1" applyBorder="1" applyAlignment="1">
      <alignment horizontal="center" vertical="center" wrapText="1"/>
    </xf>
    <xf numFmtId="0" fontId="16" fillId="17" borderId="17" xfId="0" applyFont="1" applyFill="1" applyBorder="1" applyAlignment="1">
      <alignment horizontal="center" vertical="center" wrapText="1"/>
    </xf>
    <xf numFmtId="0" fontId="17" fillId="18" borderId="18" xfId="0" applyFont="1" applyFill="1" applyBorder="1" applyAlignment="1">
      <alignment horizontal="right" vertical="center" wrapText="1"/>
    </xf>
    <xf numFmtId="0" fontId="18" fillId="19" borderId="19" xfId="0" applyFont="1" applyFill="1" applyBorder="1" applyAlignment="1">
      <alignment horizontal="center" vertical="center" wrapText="1"/>
    </xf>
    <xf numFmtId="0" fontId="19" fillId="20" borderId="20" xfId="0" applyFont="1" applyFill="1" applyBorder="1" applyAlignment="1">
      <alignment horizontal="center" vertical="center" wrapText="1"/>
    </xf>
    <xf numFmtId="49" fontId="21" fillId="22" borderId="22" xfId="0" applyNumberFormat="1" applyFont="1" applyFill="1" applyBorder="1" applyAlignment="1">
      <alignment horizontal="center" vertical="center" wrapText="1"/>
    </xf>
    <xf numFmtId="3" fontId="24" fillId="25" borderId="25" xfId="0" applyNumberFormat="1" applyFont="1" applyFill="1" applyBorder="1" applyAlignment="1">
      <alignment horizontal="right" vertical="center" wrapText="1"/>
    </xf>
    <xf numFmtId="4" fontId="26" fillId="27" borderId="27" xfId="0" applyNumberFormat="1" applyFont="1" applyFill="1" applyBorder="1" applyAlignment="1">
      <alignment horizontal="right" vertical="center" wrapText="1"/>
    </xf>
    <xf numFmtId="0" fontId="34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30" fillId="31" borderId="31" xfId="0" applyNumberFormat="1" applyFont="1" applyFill="1" applyBorder="1" applyAlignment="1">
      <alignment horizontal="left" vertical="center" wrapText="1"/>
    </xf>
    <xf numFmtId="0" fontId="31" fillId="32" borderId="32" xfId="0" applyFont="1" applyFill="1" applyBorder="1" applyAlignment="1">
      <alignment horizontal="left" vertical="center" wrapText="1"/>
    </xf>
    <xf numFmtId="49" fontId="19" fillId="31" borderId="31" xfId="0" applyNumberFormat="1" applyFont="1" applyFill="1" applyBorder="1" applyAlignment="1">
      <alignment horizontal="left" vertical="center" wrapText="1"/>
    </xf>
    <xf numFmtId="0" fontId="19" fillId="32" borderId="32" xfId="0" applyFont="1" applyFill="1" applyBorder="1" applyAlignment="1">
      <alignment horizontal="left" vertical="center" wrapText="1"/>
    </xf>
    <xf numFmtId="4" fontId="26" fillId="27" borderId="27" xfId="0" applyNumberFormat="1" applyFont="1" applyFill="1" applyBorder="1" applyAlignment="1">
      <alignment horizontal="right" vertical="center" wrapText="1"/>
    </xf>
    <xf numFmtId="49" fontId="27" fillId="28" borderId="28" xfId="0" applyNumberFormat="1" applyFont="1" applyFill="1" applyBorder="1" applyAlignment="1">
      <alignment horizontal="left" vertical="center" wrapText="1"/>
    </xf>
    <xf numFmtId="0" fontId="28" fillId="29" borderId="29" xfId="0" applyFont="1" applyFill="1" applyBorder="1" applyAlignment="1">
      <alignment horizontal="left" vertical="center" wrapText="1"/>
    </xf>
    <xf numFmtId="49" fontId="12" fillId="13" borderId="13" xfId="0" applyNumberFormat="1" applyFont="1" applyFill="1" applyBorder="1" applyAlignment="1">
      <alignment horizontal="left" vertical="center" wrapText="1"/>
    </xf>
    <xf numFmtId="49" fontId="22" fillId="23" borderId="23" xfId="0" applyNumberFormat="1" applyFont="1" applyFill="1" applyBorder="1" applyAlignment="1">
      <alignment horizontal="center" vertical="center" wrapText="1"/>
    </xf>
    <xf numFmtId="49" fontId="23" fillId="24" borderId="24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29" fillId="30" borderId="30" xfId="0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left" vertical="center" wrapText="1"/>
    </xf>
    <xf numFmtId="0" fontId="25" fillId="26" borderId="26" xfId="0" applyFont="1" applyFill="1" applyBorder="1" applyAlignment="1">
      <alignment horizontal="left" vertical="center" wrapText="1"/>
    </xf>
    <xf numFmtId="0" fontId="20" fillId="21" borderId="21" xfId="0" applyFont="1" applyFill="1" applyBorder="1" applyAlignment="1">
      <alignment horizontal="center" vertical="center" wrapText="1"/>
    </xf>
    <xf numFmtId="49" fontId="10" fillId="11" borderId="11" xfId="0" applyNumberFormat="1" applyFont="1" applyFill="1" applyBorder="1" applyAlignment="1">
      <alignment horizontal="left" vertical="center" wrapText="1"/>
    </xf>
    <xf numFmtId="49" fontId="11" fillId="12" borderId="12" xfId="0" applyNumberFormat="1" applyFont="1" applyFill="1" applyBorder="1" applyAlignment="1">
      <alignment horizontal="left" vertical="top" wrapText="1"/>
    </xf>
    <xf numFmtId="49" fontId="13" fillId="14" borderId="14" xfId="0" applyNumberFormat="1" applyFont="1" applyFill="1" applyBorder="1" applyAlignment="1">
      <alignment horizontal="left" vertical="center" wrapText="1"/>
    </xf>
    <xf numFmtId="49" fontId="14" fillId="15" borderId="15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2" fillId="33" borderId="34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49" fontId="19" fillId="33" borderId="33" xfId="0" applyNumberFormat="1" applyFont="1" applyFill="1" applyBorder="1" applyAlignment="1">
      <alignment horizontal="left" vertical="center" wrapText="1"/>
    </xf>
    <xf numFmtId="4" fontId="7" fillId="33" borderId="33" xfId="0" applyNumberFormat="1" applyFont="1" applyFill="1" applyBorder="1" applyAlignment="1">
      <alignment horizontal="right" vertical="center" wrapText="1"/>
    </xf>
    <xf numFmtId="4" fontId="7" fillId="33" borderId="33" xfId="0" applyNumberFormat="1" applyFont="1" applyFill="1" applyBorder="1" applyAlignment="1">
      <alignment horizontal="right" vertical="center" wrapText="1"/>
    </xf>
    <xf numFmtId="49" fontId="7" fillId="33" borderId="33" xfId="0" applyNumberFormat="1" applyFont="1" applyFill="1" applyBorder="1" applyAlignment="1">
      <alignment horizontal="center" vertical="center" wrapText="1"/>
    </xf>
    <xf numFmtId="3" fontId="7" fillId="33" borderId="33" xfId="0" applyNumberFormat="1" applyFont="1" applyFill="1" applyBorder="1" applyAlignment="1">
      <alignment horizontal="right" vertical="center" wrapText="1"/>
    </xf>
    <xf numFmtId="49" fontId="7" fillId="33" borderId="33" xfId="0" applyNumberFormat="1" applyFont="1" applyFill="1" applyBorder="1" applyAlignment="1">
      <alignment horizontal="left" vertical="center" wrapText="1"/>
    </xf>
    <xf numFmtId="0" fontId="19" fillId="33" borderId="33" xfId="0" applyFont="1" applyFill="1" applyBorder="1" applyAlignment="1">
      <alignment horizontal="center" vertical="center" wrapText="1"/>
    </xf>
    <xf numFmtId="0" fontId="7" fillId="33" borderId="33" xfId="0" applyFont="1" applyFill="1" applyBorder="1" applyAlignment="1">
      <alignment horizontal="center" vertical="center" wrapText="1"/>
    </xf>
    <xf numFmtId="3" fontId="7" fillId="33" borderId="8" xfId="0" applyNumberFormat="1" applyFont="1" applyFill="1" applyBorder="1" applyAlignment="1">
      <alignment horizontal="center" vertical="center" wrapText="1"/>
    </xf>
    <xf numFmtId="49" fontId="19" fillId="33" borderId="33" xfId="0" applyNumberFormat="1" applyFont="1" applyFill="1" applyBorder="1" applyAlignment="1">
      <alignment horizontal="center" vertical="center" wrapText="1"/>
    </xf>
    <xf numFmtId="0" fontId="19" fillId="33" borderId="33" xfId="0" applyFont="1" applyFill="1" applyBorder="1" applyAlignment="1">
      <alignment horizontal="left" vertical="center" wrapText="1"/>
    </xf>
    <xf numFmtId="0" fontId="4" fillId="33" borderId="33" xfId="0" applyFont="1" applyFill="1" applyBorder="1" applyAlignment="1">
      <alignment horizontal="left" vertical="center" wrapText="1"/>
    </xf>
    <xf numFmtId="3" fontId="7" fillId="33" borderId="33" xfId="0" applyNumberFormat="1" applyFont="1" applyFill="1" applyBorder="1" applyAlignment="1">
      <alignment horizontal="right" vertical="center" wrapText="1"/>
    </xf>
    <xf numFmtId="0" fontId="4" fillId="21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2"/>
  <sheetViews>
    <sheetView showGridLines="0" tabSelected="1" topLeftCell="A32" workbookViewId="0">
      <selection activeCell="AF40" sqref="AF40"/>
    </sheetView>
  </sheetViews>
  <sheetFormatPr defaultRowHeight="14.25" x14ac:dyDescent="0.45"/>
  <cols>
    <col min="1" max="1" width="4.265625" customWidth="1"/>
    <col min="2" max="2" width="3.3984375" customWidth="1"/>
    <col min="3" max="3" width="0.59765625" customWidth="1"/>
    <col min="4" max="4" width="6.59765625" customWidth="1"/>
    <col min="5" max="5" width="7.73046875" customWidth="1"/>
    <col min="6" max="6" width="9" customWidth="1"/>
    <col min="7" max="7" width="3.265625" customWidth="1"/>
    <col min="8" max="8" width="7.59765625" customWidth="1"/>
    <col min="9" max="9" width="3.1328125" customWidth="1"/>
    <col min="10" max="10" width="3.265625" customWidth="1"/>
    <col min="11" max="11" width="3.86328125" customWidth="1"/>
    <col min="12" max="12" width="3" customWidth="1"/>
    <col min="13" max="13" width="2.73046875" customWidth="1"/>
    <col min="14" max="14" width="7.265625" customWidth="1"/>
    <col min="15" max="15" width="8.3984375" customWidth="1"/>
    <col min="16" max="16" width="9.265625" customWidth="1"/>
    <col min="17" max="17" width="6" customWidth="1"/>
    <col min="18" max="18" width="7.1328125" customWidth="1"/>
    <col min="19" max="19" width="4.59765625" customWidth="1"/>
    <col min="20" max="20" width="9.59765625" customWidth="1"/>
    <col min="21" max="21" width="8.86328125" customWidth="1"/>
    <col min="22" max="22" width="5.265625" customWidth="1"/>
    <col min="23" max="23" width="1.265625" customWidth="1"/>
    <col min="24" max="24" width="3.86328125" customWidth="1"/>
    <col min="25" max="25" width="6.3984375" customWidth="1"/>
    <col min="26" max="26" width="8.59765625" customWidth="1"/>
    <col min="27" max="27" width="6.3984375" customWidth="1"/>
    <col min="28" max="29" width="0.73046875" customWidth="1"/>
  </cols>
  <sheetData>
    <row r="1" spans="1:37" ht="19.5" customHeight="1" x14ac:dyDescent="0.45"/>
    <row r="2" spans="1:37" ht="15" customHeight="1" x14ac:dyDescent="0.45">
      <c r="A2" s="34"/>
      <c r="B2" s="34"/>
      <c r="D2" s="30" t="s">
        <v>27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20" t="s">
        <v>105</v>
      </c>
      <c r="W2" s="20"/>
      <c r="X2" s="20"/>
      <c r="Y2" s="20"/>
      <c r="Z2" s="20"/>
      <c r="AA2" s="20"/>
      <c r="AB2" s="20"/>
      <c r="AC2" s="20"/>
    </row>
    <row r="3" spans="1:37" ht="1.5" customHeight="1" x14ac:dyDescent="0.45">
      <c r="A3" s="34"/>
      <c r="B3" s="34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21" t="s">
        <v>106</v>
      </c>
      <c r="W3" s="26" t="s">
        <v>112</v>
      </c>
      <c r="X3" s="20" t="s">
        <v>113</v>
      </c>
      <c r="Y3" s="20"/>
      <c r="Z3" s="20"/>
      <c r="AA3" s="20"/>
      <c r="AB3" s="20"/>
      <c r="AC3" s="20"/>
    </row>
    <row r="4" spans="1:37" ht="3" customHeight="1" x14ac:dyDescent="0.45">
      <c r="A4" s="34"/>
      <c r="B4" s="34"/>
      <c r="V4" s="21"/>
      <c r="W4" s="26"/>
      <c r="X4" s="20"/>
      <c r="Y4" s="20"/>
      <c r="Z4" s="20"/>
      <c r="AA4" s="20"/>
      <c r="AB4" s="20"/>
      <c r="AC4" s="20"/>
    </row>
    <row r="5" spans="1:37" ht="11.25" customHeight="1" x14ac:dyDescent="0.45">
      <c r="A5" s="34"/>
      <c r="B5" s="34"/>
      <c r="D5" s="31" t="s">
        <v>28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21"/>
      <c r="W5" s="26"/>
      <c r="X5" s="20"/>
      <c r="Y5" s="20"/>
      <c r="Z5" s="20"/>
      <c r="AA5" s="20"/>
      <c r="AB5" s="20"/>
      <c r="AC5" s="20"/>
    </row>
    <row r="6" spans="1:37" ht="2.25" customHeight="1" x14ac:dyDescent="0.45"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21"/>
      <c r="W6" s="26"/>
      <c r="X6" s="20"/>
      <c r="Y6" s="20"/>
      <c r="Z6" s="20"/>
      <c r="AA6" s="20"/>
      <c r="AB6" s="20"/>
      <c r="AC6" s="20"/>
    </row>
    <row r="7" spans="1:37" ht="1.5" customHeight="1" x14ac:dyDescent="0.45"/>
    <row r="8" spans="1:37" ht="2.25" customHeight="1" x14ac:dyDescent="0.4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pans="1:37" ht="10.5" customHeight="1" x14ac:dyDescent="0.45">
      <c r="A9" s="36" t="s">
        <v>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7" t="s">
        <v>130</v>
      </c>
      <c r="AA9" s="37"/>
      <c r="AB9" s="36"/>
      <c r="AE9" s="13"/>
      <c r="AF9" s="14"/>
      <c r="AG9" s="14"/>
      <c r="AH9" s="14"/>
      <c r="AI9" s="14"/>
      <c r="AJ9" s="14"/>
      <c r="AK9" s="14"/>
    </row>
    <row r="10" spans="1:37" ht="11.25" customHeight="1" x14ac:dyDescent="0.4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7" t="s">
        <v>131</v>
      </c>
      <c r="AA10" s="36"/>
      <c r="AB10" s="36"/>
      <c r="AE10" s="14"/>
      <c r="AF10" s="14"/>
      <c r="AG10" s="14"/>
      <c r="AH10" s="14"/>
      <c r="AI10" s="14"/>
      <c r="AJ10" s="14"/>
      <c r="AK10" s="14"/>
    </row>
    <row r="11" spans="1:37" ht="1.5" customHeight="1" x14ac:dyDescent="0.4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E11" s="14"/>
      <c r="AF11" s="14"/>
      <c r="AG11" s="14"/>
      <c r="AH11" s="14"/>
      <c r="AI11" s="14"/>
      <c r="AJ11" s="14"/>
      <c r="AK11" s="14"/>
    </row>
    <row r="12" spans="1:37" ht="1.5" customHeight="1" x14ac:dyDescent="0.45">
      <c r="AE12" s="14"/>
      <c r="AF12" s="14"/>
      <c r="AG12" s="14"/>
      <c r="AH12" s="14"/>
      <c r="AI12" s="14"/>
      <c r="AJ12" s="14"/>
      <c r="AK12" s="14"/>
    </row>
    <row r="13" spans="1:37" ht="18" customHeight="1" x14ac:dyDescent="0.45">
      <c r="A13" s="38" t="s">
        <v>1</v>
      </c>
      <c r="B13" s="38"/>
      <c r="C13" s="38"/>
      <c r="D13" s="38"/>
      <c r="E13" s="22" t="s">
        <v>29</v>
      </c>
      <c r="F13" s="22"/>
      <c r="G13" s="22"/>
      <c r="H13" s="6" t="s">
        <v>38</v>
      </c>
      <c r="I13" s="22" t="s">
        <v>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8" t="s">
        <v>99</v>
      </c>
      <c r="U13" s="28"/>
      <c r="V13" s="22" t="s">
        <v>107</v>
      </c>
      <c r="W13" s="22"/>
      <c r="X13" s="22"/>
      <c r="Y13" s="22"/>
      <c r="Z13" s="22"/>
      <c r="AA13" s="22"/>
      <c r="AB13" s="22"/>
      <c r="AC13" s="22"/>
      <c r="AE13" s="14"/>
      <c r="AF13" s="14"/>
      <c r="AG13" s="14"/>
      <c r="AH13" s="14"/>
      <c r="AI13" s="14"/>
      <c r="AJ13" s="14"/>
      <c r="AK13" s="14"/>
    </row>
    <row r="14" spans="1:37" ht="14.25" customHeight="1" x14ac:dyDescent="0.45">
      <c r="A14" s="39" t="s">
        <v>2</v>
      </c>
      <c r="B14" s="39"/>
      <c r="C14" s="39"/>
      <c r="D14" s="39"/>
      <c r="E14" s="32" t="s">
        <v>30</v>
      </c>
      <c r="F14" s="32"/>
      <c r="G14" s="32"/>
      <c r="H14" s="32"/>
      <c r="I14" s="32"/>
      <c r="J14" s="32"/>
      <c r="K14" s="32"/>
      <c r="L14" s="25" t="s">
        <v>43</v>
      </c>
      <c r="M14" s="25"/>
      <c r="N14" s="25"/>
      <c r="O14" s="23" t="s">
        <v>69</v>
      </c>
      <c r="P14" s="23"/>
      <c r="Q14" s="23"/>
      <c r="R14" s="23"/>
      <c r="S14" s="23"/>
      <c r="T14" s="25" t="s">
        <v>100</v>
      </c>
      <c r="U14" s="25"/>
      <c r="V14" s="23" t="s">
        <v>108</v>
      </c>
      <c r="W14" s="23"/>
      <c r="X14" s="23"/>
      <c r="Y14" s="23"/>
      <c r="Z14" s="23"/>
      <c r="AA14" s="23"/>
      <c r="AB14" s="23"/>
      <c r="AC14" s="23"/>
      <c r="AE14" s="14"/>
      <c r="AF14" s="14"/>
      <c r="AG14" s="14"/>
      <c r="AH14" s="14"/>
      <c r="AI14" s="14"/>
      <c r="AJ14" s="14"/>
      <c r="AK14" s="14"/>
    </row>
    <row r="15" spans="1:37" ht="13.5" customHeight="1" x14ac:dyDescent="0.45">
      <c r="A15" s="40" t="s">
        <v>3</v>
      </c>
      <c r="B15" s="40"/>
      <c r="C15" s="40"/>
      <c r="D15" s="40"/>
      <c r="E15" s="33" t="s">
        <v>31</v>
      </c>
      <c r="F15" s="33"/>
      <c r="G15" s="33"/>
      <c r="H15" s="33"/>
      <c r="I15" s="33"/>
      <c r="J15" s="33"/>
      <c r="K15" s="33"/>
      <c r="L15" s="29" t="s">
        <v>44</v>
      </c>
      <c r="M15" s="29"/>
      <c r="N15" s="29"/>
      <c r="O15" s="24" t="s">
        <v>70</v>
      </c>
      <c r="P15" s="24"/>
      <c r="Q15" s="24" t="s">
        <v>92</v>
      </c>
      <c r="R15" s="24"/>
      <c r="S15" s="24"/>
      <c r="T15" s="29" t="s">
        <v>101</v>
      </c>
      <c r="U15" s="29"/>
      <c r="V15" s="24" t="s">
        <v>109</v>
      </c>
      <c r="W15" s="24"/>
      <c r="X15" s="24"/>
      <c r="Y15" s="24"/>
      <c r="Z15" s="24"/>
      <c r="AA15" s="24"/>
      <c r="AB15" s="24"/>
      <c r="AC15" s="24"/>
      <c r="AE15" s="14"/>
      <c r="AF15" s="14"/>
      <c r="AG15" s="14"/>
      <c r="AH15" s="14"/>
      <c r="AI15" s="14"/>
      <c r="AJ15" s="14"/>
      <c r="AK15" s="14"/>
    </row>
    <row r="16" spans="1:37" ht="14.25" customHeight="1" x14ac:dyDescent="0.45">
      <c r="A16" s="40" t="s">
        <v>4</v>
      </c>
      <c r="B16" s="40"/>
      <c r="C16" s="40"/>
      <c r="D16" s="40"/>
      <c r="E16" s="33" t="s">
        <v>32</v>
      </c>
      <c r="F16" s="33"/>
      <c r="G16" s="33"/>
      <c r="H16" s="33"/>
      <c r="I16" s="33"/>
      <c r="J16" s="33"/>
      <c r="K16" s="33"/>
      <c r="L16" s="29" t="s">
        <v>45</v>
      </c>
      <c r="M16" s="29"/>
      <c r="N16" s="29"/>
      <c r="O16" s="24" t="s">
        <v>71</v>
      </c>
      <c r="P16" s="24"/>
      <c r="Q16" s="24"/>
      <c r="R16" s="24"/>
      <c r="S16" s="24"/>
      <c r="T16" s="29" t="s">
        <v>102</v>
      </c>
      <c r="U16" s="29"/>
      <c r="V16" s="24" t="s">
        <v>110</v>
      </c>
      <c r="W16" s="24"/>
      <c r="X16" s="24"/>
      <c r="Y16" s="24"/>
      <c r="Z16" s="24"/>
      <c r="AA16" s="24"/>
      <c r="AB16" s="24"/>
      <c r="AC16" s="24"/>
    </row>
    <row r="17" spans="1:30" ht="14.25" customHeight="1" x14ac:dyDescent="0.45">
      <c r="A17" s="1" t="s">
        <v>5</v>
      </c>
      <c r="B17" s="25" t="s">
        <v>7</v>
      </c>
      <c r="C17" s="25"/>
      <c r="D17" s="25"/>
      <c r="E17" s="25"/>
      <c r="F17" s="3" t="s">
        <v>33</v>
      </c>
      <c r="G17" s="25" t="s">
        <v>37</v>
      </c>
      <c r="H17" s="25"/>
      <c r="I17" s="25"/>
      <c r="J17" s="7" t="s">
        <v>40</v>
      </c>
      <c r="K17" s="7" t="s">
        <v>41</v>
      </c>
      <c r="L17" s="7" t="s">
        <v>46</v>
      </c>
      <c r="M17" s="7" t="s">
        <v>47</v>
      </c>
      <c r="N17" s="25" t="s">
        <v>49</v>
      </c>
      <c r="O17" s="25"/>
      <c r="P17" s="25" t="s">
        <v>72</v>
      </c>
      <c r="Q17" s="25"/>
      <c r="R17" s="25" t="s">
        <v>93</v>
      </c>
      <c r="S17" s="25"/>
      <c r="T17" s="3" t="s">
        <v>103</v>
      </c>
      <c r="U17" s="3" t="s">
        <v>104</v>
      </c>
      <c r="V17" s="25" t="s">
        <v>111</v>
      </c>
      <c r="W17" s="25"/>
      <c r="X17" s="25"/>
      <c r="Y17" s="25" t="s">
        <v>114</v>
      </c>
      <c r="Z17" s="25"/>
      <c r="AA17" s="25"/>
      <c r="AB17" s="25"/>
      <c r="AC17" s="25"/>
      <c r="AD17" s="12" t="s">
        <v>132</v>
      </c>
    </row>
    <row r="18" spans="1:30" ht="24" customHeight="1" x14ac:dyDescent="0.45">
      <c r="A18" s="2">
        <v>1</v>
      </c>
      <c r="B18" s="27" t="s">
        <v>8</v>
      </c>
      <c r="C18" s="27"/>
      <c r="D18" s="27"/>
      <c r="E18" s="27"/>
      <c r="F18" s="4" t="s">
        <v>34</v>
      </c>
      <c r="G18" s="27" t="s">
        <v>8</v>
      </c>
      <c r="H18" s="27"/>
      <c r="I18" s="27"/>
      <c r="J18" s="8"/>
      <c r="K18" s="8" t="s">
        <v>42</v>
      </c>
      <c r="L18" s="8" t="s">
        <v>42</v>
      </c>
      <c r="M18" s="9" t="s">
        <v>48</v>
      </c>
      <c r="N18" s="27" t="s">
        <v>50</v>
      </c>
      <c r="O18" s="27"/>
      <c r="P18" s="27" t="s">
        <v>73</v>
      </c>
      <c r="Q18" s="27"/>
      <c r="R18" s="10">
        <v>4</v>
      </c>
      <c r="S18" s="4" t="s">
        <v>94</v>
      </c>
      <c r="T18" s="11">
        <v>2700</v>
      </c>
      <c r="U18" s="11">
        <v>7.0670000000000002</v>
      </c>
      <c r="V18" s="19">
        <v>7.0670000000000002</v>
      </c>
      <c r="W18" s="19"/>
      <c r="X18" s="19"/>
      <c r="Y18" s="15" t="s">
        <v>115</v>
      </c>
      <c r="Z18" s="15"/>
      <c r="AA18" s="15"/>
      <c r="AB18" s="15"/>
      <c r="AC18" s="15"/>
    </row>
    <row r="19" spans="1:30" ht="14.25" customHeight="1" x14ac:dyDescent="0.45">
      <c r="A19" s="2">
        <v>2</v>
      </c>
      <c r="B19" s="27" t="s">
        <v>9</v>
      </c>
      <c r="C19" s="27"/>
      <c r="D19" s="27"/>
      <c r="E19" s="27"/>
      <c r="F19" s="5"/>
      <c r="G19" s="27" t="s">
        <v>9</v>
      </c>
      <c r="H19" s="27"/>
      <c r="I19" s="27"/>
      <c r="J19" s="8"/>
      <c r="K19" s="8" t="s">
        <v>42</v>
      </c>
      <c r="L19" s="8" t="s">
        <v>42</v>
      </c>
      <c r="M19" s="9" t="s">
        <v>48</v>
      </c>
      <c r="N19" s="27" t="s">
        <v>51</v>
      </c>
      <c r="O19" s="27"/>
      <c r="P19" s="27" t="s">
        <v>74</v>
      </c>
      <c r="Q19" s="27"/>
      <c r="R19" s="10">
        <v>2</v>
      </c>
      <c r="S19" s="5"/>
      <c r="T19" s="11">
        <v>1020</v>
      </c>
      <c r="U19" s="11">
        <v>2.0139999999999998</v>
      </c>
      <c r="V19" s="19">
        <v>2.0139999999999998</v>
      </c>
      <c r="W19" s="19"/>
      <c r="X19" s="19"/>
      <c r="Y19" s="15" t="s">
        <v>116</v>
      </c>
      <c r="Z19" s="15"/>
      <c r="AA19" s="15"/>
      <c r="AB19" s="15"/>
      <c r="AC19" s="15"/>
    </row>
    <row r="20" spans="1:30" ht="24" customHeight="1" x14ac:dyDescent="0.45">
      <c r="A20" s="2">
        <v>3</v>
      </c>
      <c r="B20" s="27" t="s">
        <v>10</v>
      </c>
      <c r="C20" s="27"/>
      <c r="D20" s="27"/>
      <c r="E20" s="27"/>
      <c r="F20" s="5"/>
      <c r="G20" s="27" t="s">
        <v>10</v>
      </c>
      <c r="H20" s="27"/>
      <c r="I20" s="27"/>
      <c r="J20" s="8"/>
      <c r="K20" s="8" t="s">
        <v>42</v>
      </c>
      <c r="L20" s="8" t="s">
        <v>42</v>
      </c>
      <c r="M20" s="8"/>
      <c r="N20" s="27" t="s">
        <v>52</v>
      </c>
      <c r="O20" s="27"/>
      <c r="P20" s="27" t="s">
        <v>75</v>
      </c>
      <c r="Q20" s="27"/>
      <c r="R20" s="10">
        <v>2</v>
      </c>
      <c r="S20" s="4" t="s">
        <v>94</v>
      </c>
      <c r="T20" s="11">
        <v>387</v>
      </c>
      <c r="U20" s="11">
        <v>2.65</v>
      </c>
      <c r="V20" s="19">
        <v>2.65</v>
      </c>
      <c r="W20" s="19"/>
      <c r="X20" s="19"/>
      <c r="Y20" s="18" t="s">
        <v>133</v>
      </c>
      <c r="Z20" s="16"/>
      <c r="AA20" s="16"/>
      <c r="AB20" s="16"/>
      <c r="AC20" s="16"/>
    </row>
    <row r="21" spans="1:30" ht="24" customHeight="1" x14ac:dyDescent="0.45">
      <c r="A21" s="2">
        <v>4</v>
      </c>
      <c r="B21" s="27" t="s">
        <v>11</v>
      </c>
      <c r="C21" s="27"/>
      <c r="D21" s="27"/>
      <c r="E21" s="27"/>
      <c r="F21" s="5"/>
      <c r="G21" s="27" t="s">
        <v>11</v>
      </c>
      <c r="H21" s="27"/>
      <c r="I21" s="27"/>
      <c r="J21" s="8"/>
      <c r="K21" s="8" t="s">
        <v>42</v>
      </c>
      <c r="L21" s="8" t="s">
        <v>42</v>
      </c>
      <c r="M21" s="8"/>
      <c r="N21" s="27" t="s">
        <v>53</v>
      </c>
      <c r="O21" s="27"/>
      <c r="P21" s="27" t="s">
        <v>76</v>
      </c>
      <c r="Q21" s="27"/>
      <c r="R21" s="10">
        <v>1</v>
      </c>
      <c r="S21" s="4" t="s">
        <v>95</v>
      </c>
      <c r="T21" s="11">
        <v>1510</v>
      </c>
      <c r="U21" s="11">
        <v>2.6179999999999999</v>
      </c>
      <c r="V21" s="19">
        <v>2.6179999999999999</v>
      </c>
      <c r="W21" s="19"/>
      <c r="X21" s="19"/>
      <c r="Y21" s="15" t="s">
        <v>117</v>
      </c>
      <c r="Z21" s="15"/>
      <c r="AA21" s="15"/>
      <c r="AB21" s="15"/>
      <c r="AC21" s="15"/>
      <c r="AD21" s="12" t="s">
        <v>134</v>
      </c>
    </row>
    <row r="22" spans="1:30" ht="14.25" customHeight="1" x14ac:dyDescent="0.45">
      <c r="A22" s="2">
        <v>5</v>
      </c>
      <c r="B22" s="27" t="s">
        <v>12</v>
      </c>
      <c r="C22" s="27"/>
      <c r="D22" s="27"/>
      <c r="E22" s="27"/>
      <c r="F22" s="5"/>
      <c r="G22" s="27" t="s">
        <v>12</v>
      </c>
      <c r="H22" s="27"/>
      <c r="I22" s="27"/>
      <c r="J22" s="8"/>
      <c r="K22" s="8" t="s">
        <v>42</v>
      </c>
      <c r="L22" s="8" t="s">
        <v>42</v>
      </c>
      <c r="M22" s="9" t="s">
        <v>48</v>
      </c>
      <c r="N22" s="27" t="s">
        <v>54</v>
      </c>
      <c r="O22" s="27"/>
      <c r="P22" s="27" t="s">
        <v>77</v>
      </c>
      <c r="Q22" s="27"/>
      <c r="R22" s="10">
        <v>20</v>
      </c>
      <c r="S22" s="4" t="s">
        <v>96</v>
      </c>
      <c r="T22" s="11">
        <v>880</v>
      </c>
      <c r="U22" s="11">
        <v>5.6070000000000002</v>
      </c>
      <c r="V22" s="19">
        <v>5.6070000000000002</v>
      </c>
      <c r="W22" s="19"/>
      <c r="X22" s="19"/>
      <c r="Y22" s="15" t="s">
        <v>118</v>
      </c>
      <c r="Z22" s="15"/>
      <c r="AA22" s="15"/>
      <c r="AB22" s="15"/>
      <c r="AC22" s="15"/>
      <c r="AD22" s="12" t="s">
        <v>137</v>
      </c>
    </row>
    <row r="23" spans="1:30" ht="24" customHeight="1" x14ac:dyDescent="0.45">
      <c r="A23" s="2">
        <v>6</v>
      </c>
      <c r="B23" s="27" t="s">
        <v>13</v>
      </c>
      <c r="C23" s="27"/>
      <c r="D23" s="27"/>
      <c r="E23" s="27"/>
      <c r="F23" s="5"/>
      <c r="G23" s="27" t="s">
        <v>13</v>
      </c>
      <c r="H23" s="27"/>
      <c r="I23" s="27"/>
      <c r="J23" s="8"/>
      <c r="K23" s="8" t="s">
        <v>42</v>
      </c>
      <c r="L23" s="8" t="s">
        <v>42</v>
      </c>
      <c r="M23" s="9" t="s">
        <v>48</v>
      </c>
      <c r="N23" s="27" t="s">
        <v>55</v>
      </c>
      <c r="O23" s="27"/>
      <c r="P23" s="27" t="s">
        <v>78</v>
      </c>
      <c r="Q23" s="27"/>
      <c r="R23" s="10">
        <v>13</v>
      </c>
      <c r="S23" s="4" t="s">
        <v>95</v>
      </c>
      <c r="T23" s="11">
        <v>532</v>
      </c>
      <c r="U23" s="11">
        <v>2.4470000000000001</v>
      </c>
      <c r="V23" s="19">
        <v>2.4470000000000001</v>
      </c>
      <c r="W23" s="19"/>
      <c r="X23" s="19"/>
      <c r="Y23" s="16"/>
      <c r="Z23" s="16"/>
      <c r="AA23" s="16"/>
      <c r="AB23" s="16"/>
      <c r="AC23" s="16"/>
    </row>
    <row r="24" spans="1:30" ht="21" customHeight="1" x14ac:dyDescent="0.45">
      <c r="A24" s="2">
        <v>7</v>
      </c>
      <c r="B24" s="27" t="s">
        <v>14</v>
      </c>
      <c r="C24" s="27"/>
      <c r="D24" s="27"/>
      <c r="E24" s="27"/>
      <c r="F24" s="5"/>
      <c r="G24" s="27" t="s">
        <v>14</v>
      </c>
      <c r="H24" s="27"/>
      <c r="I24" s="27"/>
      <c r="J24" s="8"/>
      <c r="K24" s="8" t="s">
        <v>42</v>
      </c>
      <c r="L24" s="8" t="s">
        <v>42</v>
      </c>
      <c r="M24" s="9" t="s">
        <v>48</v>
      </c>
      <c r="N24" s="27" t="s">
        <v>56</v>
      </c>
      <c r="O24" s="27"/>
      <c r="P24" s="27" t="s">
        <v>79</v>
      </c>
      <c r="Q24" s="27"/>
      <c r="R24" s="10">
        <v>4</v>
      </c>
      <c r="S24" s="4" t="s">
        <v>94</v>
      </c>
      <c r="T24" s="11">
        <v>1920</v>
      </c>
      <c r="U24" s="11">
        <v>7.9139999999999997</v>
      </c>
      <c r="V24" s="19">
        <v>7.9139999999999997</v>
      </c>
      <c r="W24" s="19"/>
      <c r="X24" s="19"/>
      <c r="Y24" s="15" t="s">
        <v>119</v>
      </c>
      <c r="Z24" s="15"/>
      <c r="AA24" s="15"/>
      <c r="AB24" s="15"/>
      <c r="AC24" s="15"/>
    </row>
    <row r="25" spans="1:30" ht="23.25" customHeight="1" x14ac:dyDescent="0.45">
      <c r="A25" s="2">
        <v>8</v>
      </c>
      <c r="B25" s="27" t="s">
        <v>15</v>
      </c>
      <c r="C25" s="27"/>
      <c r="D25" s="27"/>
      <c r="E25" s="27"/>
      <c r="F25" s="5"/>
      <c r="G25" s="27" t="s">
        <v>15</v>
      </c>
      <c r="H25" s="27"/>
      <c r="I25" s="27"/>
      <c r="J25" s="8"/>
      <c r="K25" s="8" t="s">
        <v>42</v>
      </c>
      <c r="L25" s="8" t="s">
        <v>42</v>
      </c>
      <c r="M25" s="9" t="s">
        <v>48</v>
      </c>
      <c r="N25" s="27" t="s">
        <v>57</v>
      </c>
      <c r="O25" s="27"/>
      <c r="P25" s="27" t="s">
        <v>80</v>
      </c>
      <c r="Q25" s="27"/>
      <c r="R25" s="10">
        <v>12</v>
      </c>
      <c r="S25" s="4" t="s">
        <v>94</v>
      </c>
      <c r="T25" s="11">
        <v>6547</v>
      </c>
      <c r="U25" s="11">
        <v>6.4649999999999999</v>
      </c>
      <c r="V25" s="19">
        <v>6.4649999999999999</v>
      </c>
      <c r="W25" s="19"/>
      <c r="X25" s="19"/>
      <c r="Y25" s="15" t="s">
        <v>120</v>
      </c>
      <c r="Z25" s="15"/>
      <c r="AA25" s="15"/>
      <c r="AB25" s="15"/>
      <c r="AC25" s="15"/>
    </row>
    <row r="26" spans="1:30" ht="14.25" customHeight="1" x14ac:dyDescent="0.45">
      <c r="A26" s="2">
        <v>9</v>
      </c>
      <c r="B26" s="27" t="s">
        <v>16</v>
      </c>
      <c r="C26" s="27"/>
      <c r="D26" s="27"/>
      <c r="E26" s="27"/>
      <c r="F26" s="5"/>
      <c r="G26" s="27" t="s">
        <v>16</v>
      </c>
      <c r="H26" s="27"/>
      <c r="I26" s="27"/>
      <c r="J26" s="8"/>
      <c r="K26" s="8" t="s">
        <v>42</v>
      </c>
      <c r="L26" s="8" t="s">
        <v>42</v>
      </c>
      <c r="M26" s="9" t="s">
        <v>48</v>
      </c>
      <c r="N26" s="27" t="s">
        <v>58</v>
      </c>
      <c r="O26" s="27"/>
      <c r="P26" s="27" t="s">
        <v>81</v>
      </c>
      <c r="Q26" s="27"/>
      <c r="R26" s="10">
        <v>2</v>
      </c>
      <c r="S26" s="4" t="s">
        <v>94</v>
      </c>
      <c r="T26" s="11">
        <v>440</v>
      </c>
      <c r="U26" s="11">
        <v>2.9060000000000001</v>
      </c>
      <c r="V26" s="19">
        <v>2.9060000000000001</v>
      </c>
      <c r="W26" s="19"/>
      <c r="X26" s="19"/>
      <c r="Y26" s="15" t="s">
        <v>121</v>
      </c>
      <c r="Z26" s="15"/>
      <c r="AA26" s="15"/>
      <c r="AB26" s="15"/>
      <c r="AC26" s="15"/>
    </row>
    <row r="27" spans="1:30" ht="15" customHeight="1" x14ac:dyDescent="0.45">
      <c r="A27" s="2">
        <v>10</v>
      </c>
      <c r="B27" s="27" t="s">
        <v>17</v>
      </c>
      <c r="C27" s="27"/>
      <c r="D27" s="27"/>
      <c r="E27" s="27"/>
      <c r="F27" s="5"/>
      <c r="G27" s="27" t="s">
        <v>17</v>
      </c>
      <c r="H27" s="27"/>
      <c r="I27" s="27"/>
      <c r="J27" s="8"/>
      <c r="K27" s="8" t="s">
        <v>42</v>
      </c>
      <c r="L27" s="8" t="s">
        <v>42</v>
      </c>
      <c r="M27" s="9" t="s">
        <v>48</v>
      </c>
      <c r="N27" s="27" t="s">
        <v>59</v>
      </c>
      <c r="O27" s="27"/>
      <c r="P27" s="27" t="s">
        <v>82</v>
      </c>
      <c r="Q27" s="27"/>
      <c r="R27" s="10">
        <v>1</v>
      </c>
      <c r="S27" s="4" t="s">
        <v>97</v>
      </c>
      <c r="T27" s="11">
        <v>648</v>
      </c>
      <c r="U27" s="11">
        <v>1.3879999999999999</v>
      </c>
      <c r="V27" s="19">
        <v>1.3879999999999999</v>
      </c>
      <c r="W27" s="19"/>
      <c r="X27" s="19"/>
      <c r="Y27" s="15" t="s">
        <v>122</v>
      </c>
      <c r="Z27" s="15"/>
      <c r="AA27" s="15"/>
      <c r="AB27" s="15"/>
      <c r="AC27" s="15"/>
    </row>
    <row r="28" spans="1:30" ht="14.25" customHeight="1" x14ac:dyDescent="0.45">
      <c r="A28" s="2">
        <v>11</v>
      </c>
      <c r="B28" s="27" t="s">
        <v>18</v>
      </c>
      <c r="C28" s="27"/>
      <c r="D28" s="27"/>
      <c r="E28" s="27"/>
      <c r="F28" s="5"/>
      <c r="G28" s="27" t="s">
        <v>18</v>
      </c>
      <c r="H28" s="27"/>
      <c r="I28" s="27"/>
      <c r="J28" s="8"/>
      <c r="K28" s="8" t="s">
        <v>42</v>
      </c>
      <c r="L28" s="8" t="s">
        <v>42</v>
      </c>
      <c r="M28" s="9" t="s">
        <v>48</v>
      </c>
      <c r="N28" s="27" t="s">
        <v>60</v>
      </c>
      <c r="O28" s="27"/>
      <c r="P28" s="27" t="s">
        <v>83</v>
      </c>
      <c r="Q28" s="27"/>
      <c r="R28" s="10">
        <v>2</v>
      </c>
      <c r="S28" s="4" t="s">
        <v>94</v>
      </c>
      <c r="T28" s="11">
        <v>1324</v>
      </c>
      <c r="U28" s="11">
        <v>4.3499999999999996</v>
      </c>
      <c r="V28" s="19">
        <v>4.3499999999999996</v>
      </c>
      <c r="W28" s="19"/>
      <c r="X28" s="19"/>
      <c r="Y28" s="15" t="s">
        <v>123</v>
      </c>
      <c r="Z28" s="15"/>
      <c r="AA28" s="15"/>
      <c r="AB28" s="15"/>
      <c r="AC28" s="15"/>
    </row>
    <row r="29" spans="1:30" ht="34.5" customHeight="1" x14ac:dyDescent="0.45">
      <c r="A29" s="2">
        <v>12</v>
      </c>
      <c r="B29" s="27" t="s">
        <v>19</v>
      </c>
      <c r="C29" s="27"/>
      <c r="D29" s="27"/>
      <c r="E29" s="27"/>
      <c r="F29" s="4" t="s">
        <v>35</v>
      </c>
      <c r="G29" s="27" t="s">
        <v>19</v>
      </c>
      <c r="H29" s="27"/>
      <c r="I29" s="27"/>
      <c r="J29" s="8"/>
      <c r="K29" s="8" t="s">
        <v>42</v>
      </c>
      <c r="L29" s="8" t="s">
        <v>42</v>
      </c>
      <c r="M29" s="8"/>
      <c r="N29" s="27" t="s">
        <v>61</v>
      </c>
      <c r="O29" s="27"/>
      <c r="P29" s="27" t="s">
        <v>84</v>
      </c>
      <c r="Q29" s="27"/>
      <c r="R29" s="10">
        <v>1</v>
      </c>
      <c r="S29" s="4" t="s">
        <v>94</v>
      </c>
      <c r="T29" s="11">
        <v>235</v>
      </c>
      <c r="U29" s="11">
        <v>0.51400000000000001</v>
      </c>
      <c r="V29" s="19">
        <v>0.51400000000000001</v>
      </c>
      <c r="W29" s="19"/>
      <c r="X29" s="19"/>
      <c r="Y29" s="15" t="s">
        <v>124</v>
      </c>
      <c r="Z29" s="15"/>
      <c r="AA29" s="15"/>
      <c r="AB29" s="15"/>
      <c r="AC29" s="15"/>
      <c r="AD29" s="12" t="s">
        <v>138</v>
      </c>
    </row>
    <row r="30" spans="1:30" ht="24" customHeight="1" x14ac:dyDescent="0.45">
      <c r="A30" s="2">
        <v>13</v>
      </c>
      <c r="B30" s="27" t="s">
        <v>20</v>
      </c>
      <c r="C30" s="27"/>
      <c r="D30" s="27"/>
      <c r="E30" s="27"/>
      <c r="F30" s="4" t="s">
        <v>34</v>
      </c>
      <c r="G30" s="27" t="s">
        <v>20</v>
      </c>
      <c r="H30" s="27"/>
      <c r="I30" s="27"/>
      <c r="J30" s="8"/>
      <c r="K30" s="8" t="s">
        <v>42</v>
      </c>
      <c r="L30" s="8" t="s">
        <v>42</v>
      </c>
      <c r="M30" s="9" t="s">
        <v>48</v>
      </c>
      <c r="N30" s="27" t="s">
        <v>62</v>
      </c>
      <c r="O30" s="27"/>
      <c r="P30" s="27" t="s">
        <v>85</v>
      </c>
      <c r="Q30" s="27"/>
      <c r="R30" s="10">
        <v>1</v>
      </c>
      <c r="S30" s="4" t="s">
        <v>98</v>
      </c>
      <c r="T30" s="11">
        <v>95</v>
      </c>
      <c r="U30" s="11">
        <v>0.154</v>
      </c>
      <c r="V30" s="19">
        <v>0.154</v>
      </c>
      <c r="W30" s="19"/>
      <c r="X30" s="19"/>
      <c r="Y30" s="15" t="s">
        <v>125</v>
      </c>
      <c r="Z30" s="15"/>
      <c r="AA30" s="15"/>
      <c r="AB30" s="15"/>
      <c r="AC30" s="15"/>
    </row>
    <row r="31" spans="1:30" ht="23.25" customHeight="1" x14ac:dyDescent="0.45">
      <c r="A31" s="2">
        <v>14</v>
      </c>
      <c r="B31" s="27" t="s">
        <v>21</v>
      </c>
      <c r="C31" s="27"/>
      <c r="D31" s="27"/>
      <c r="E31" s="27"/>
      <c r="F31" s="4" t="s">
        <v>36</v>
      </c>
      <c r="G31" s="27" t="s">
        <v>21</v>
      </c>
      <c r="H31" s="27"/>
      <c r="I31" s="27"/>
      <c r="J31" s="8"/>
      <c r="K31" s="8" t="s">
        <v>42</v>
      </c>
      <c r="L31" s="8" t="s">
        <v>42</v>
      </c>
      <c r="M31" s="8"/>
      <c r="N31" s="27" t="s">
        <v>63</v>
      </c>
      <c r="O31" s="27"/>
      <c r="P31" s="27" t="s">
        <v>86</v>
      </c>
      <c r="Q31" s="27"/>
      <c r="R31" s="10">
        <v>3</v>
      </c>
      <c r="S31" s="5"/>
      <c r="T31" s="11">
        <v>101</v>
      </c>
      <c r="U31" s="11">
        <v>0.27700000000000002</v>
      </c>
      <c r="V31" s="19">
        <v>0.27700000000000002</v>
      </c>
      <c r="W31" s="19"/>
      <c r="X31" s="19"/>
      <c r="Y31" s="16"/>
      <c r="Z31" s="16"/>
      <c r="AA31" s="16"/>
      <c r="AB31" s="16"/>
      <c r="AC31" s="16"/>
    </row>
    <row r="32" spans="1:30" ht="15" customHeight="1" x14ac:dyDescent="0.45">
      <c r="A32" s="2">
        <v>15</v>
      </c>
      <c r="B32" s="27" t="s">
        <v>22</v>
      </c>
      <c r="C32" s="27"/>
      <c r="D32" s="27"/>
      <c r="E32" s="27"/>
      <c r="F32" s="5"/>
      <c r="G32" s="27" t="s">
        <v>22</v>
      </c>
      <c r="H32" s="27"/>
      <c r="I32" s="27"/>
      <c r="J32" s="8"/>
      <c r="K32" s="8" t="s">
        <v>42</v>
      </c>
      <c r="L32" s="8" t="s">
        <v>42</v>
      </c>
      <c r="M32" s="9" t="s">
        <v>48</v>
      </c>
      <c r="N32" s="27" t="s">
        <v>64</v>
      </c>
      <c r="O32" s="27"/>
      <c r="P32" s="27" t="s">
        <v>87</v>
      </c>
      <c r="Q32" s="27"/>
      <c r="R32" s="10">
        <v>1</v>
      </c>
      <c r="S32" s="4" t="s">
        <v>94</v>
      </c>
      <c r="T32" s="11">
        <v>425</v>
      </c>
      <c r="U32" s="11">
        <v>1.3069999999999999</v>
      </c>
      <c r="V32" s="19">
        <v>1.3069999999999999</v>
      </c>
      <c r="W32" s="19"/>
      <c r="X32" s="19"/>
      <c r="Y32" s="15" t="s">
        <v>126</v>
      </c>
      <c r="Z32" s="15"/>
      <c r="AA32" s="15"/>
      <c r="AB32" s="15"/>
      <c r="AC32" s="15"/>
    </row>
    <row r="33" spans="1:30" ht="14.25" customHeight="1" x14ac:dyDescent="0.45">
      <c r="A33" s="2">
        <v>16</v>
      </c>
      <c r="B33" s="27" t="s">
        <v>23</v>
      </c>
      <c r="C33" s="27"/>
      <c r="D33" s="27"/>
      <c r="E33" s="27"/>
      <c r="F33" s="5"/>
      <c r="G33" s="27" t="s">
        <v>23</v>
      </c>
      <c r="H33" s="27"/>
      <c r="I33" s="27"/>
      <c r="J33" s="8"/>
      <c r="K33" s="8" t="s">
        <v>42</v>
      </c>
      <c r="L33" s="8" t="s">
        <v>42</v>
      </c>
      <c r="M33" s="8"/>
      <c r="N33" s="27" t="s">
        <v>65</v>
      </c>
      <c r="O33" s="27"/>
      <c r="P33" s="27" t="s">
        <v>88</v>
      </c>
      <c r="Q33" s="27"/>
      <c r="R33" s="10">
        <v>1</v>
      </c>
      <c r="S33" s="4" t="s">
        <v>94</v>
      </c>
      <c r="T33" s="11">
        <v>180</v>
      </c>
      <c r="U33" s="11">
        <v>0.53400000000000003</v>
      </c>
      <c r="V33" s="19">
        <v>0.53400000000000003</v>
      </c>
      <c r="W33" s="19"/>
      <c r="X33" s="19"/>
      <c r="Y33" s="15" t="s">
        <v>127</v>
      </c>
      <c r="Z33" s="15"/>
      <c r="AA33" s="15"/>
      <c r="AB33" s="15"/>
      <c r="AC33" s="15"/>
    </row>
    <row r="34" spans="1:30" ht="14.25" customHeight="1" x14ac:dyDescent="0.45">
      <c r="A34" s="2">
        <v>17</v>
      </c>
      <c r="B34" s="27" t="s">
        <v>24</v>
      </c>
      <c r="C34" s="27"/>
      <c r="D34" s="27"/>
      <c r="E34" s="27"/>
      <c r="F34" s="5"/>
      <c r="G34" s="27" t="s">
        <v>24</v>
      </c>
      <c r="H34" s="27"/>
      <c r="I34" s="27"/>
      <c r="J34" s="8"/>
      <c r="K34" s="8" t="s">
        <v>42</v>
      </c>
      <c r="L34" s="8" t="s">
        <v>42</v>
      </c>
      <c r="M34" s="8"/>
      <c r="N34" s="27" t="s">
        <v>66</v>
      </c>
      <c r="O34" s="27"/>
      <c r="P34" s="27" t="s">
        <v>89</v>
      </c>
      <c r="Q34" s="27"/>
      <c r="R34" s="10">
        <v>1</v>
      </c>
      <c r="S34" s="5"/>
      <c r="T34" s="11">
        <v>670</v>
      </c>
      <c r="U34" s="11">
        <v>0.9</v>
      </c>
      <c r="V34" s="19">
        <v>0.9</v>
      </c>
      <c r="W34" s="19"/>
      <c r="X34" s="19"/>
      <c r="Y34" s="17" t="s">
        <v>136</v>
      </c>
      <c r="Z34" s="15"/>
      <c r="AA34" s="15"/>
      <c r="AB34" s="15"/>
      <c r="AC34" s="15"/>
      <c r="AD34" s="12" t="s">
        <v>139</v>
      </c>
    </row>
    <row r="35" spans="1:30" ht="14.25" customHeight="1" x14ac:dyDescent="0.45">
      <c r="A35" s="2">
        <v>18</v>
      </c>
      <c r="B35" s="27" t="s">
        <v>25</v>
      </c>
      <c r="C35" s="27"/>
      <c r="D35" s="27"/>
      <c r="E35" s="27"/>
      <c r="F35" s="5"/>
      <c r="G35" s="27" t="s">
        <v>25</v>
      </c>
      <c r="H35" s="27"/>
      <c r="I35" s="27"/>
      <c r="J35" s="8"/>
      <c r="K35" s="8" t="s">
        <v>42</v>
      </c>
      <c r="L35" s="8" t="s">
        <v>42</v>
      </c>
      <c r="M35" s="8"/>
      <c r="N35" s="27" t="s">
        <v>67</v>
      </c>
      <c r="O35" s="27"/>
      <c r="P35" s="27" t="s">
        <v>90</v>
      </c>
      <c r="Q35" s="27"/>
      <c r="R35" s="10">
        <v>1</v>
      </c>
      <c r="S35" s="4" t="s">
        <v>94</v>
      </c>
      <c r="T35" s="11">
        <v>350</v>
      </c>
      <c r="U35" s="11">
        <v>2.3889999999999998</v>
      </c>
      <c r="V35" s="19">
        <v>2.3889999999999998</v>
      </c>
      <c r="W35" s="19"/>
      <c r="X35" s="19"/>
      <c r="Y35" s="17" t="s">
        <v>135</v>
      </c>
      <c r="Z35" s="15"/>
      <c r="AA35" s="15"/>
      <c r="AB35" s="15"/>
      <c r="AC35" s="15"/>
    </row>
    <row r="36" spans="1:30" ht="21" customHeight="1" x14ac:dyDescent="0.45">
      <c r="A36" s="2">
        <v>19</v>
      </c>
      <c r="B36" s="27" t="s">
        <v>26</v>
      </c>
      <c r="C36" s="27"/>
      <c r="D36" s="27"/>
      <c r="E36" s="27"/>
      <c r="F36" s="5"/>
      <c r="G36" s="27" t="s">
        <v>26</v>
      </c>
      <c r="H36" s="27"/>
      <c r="I36" s="27"/>
      <c r="J36" s="8"/>
      <c r="K36" s="8" t="s">
        <v>42</v>
      </c>
      <c r="L36" s="8" t="s">
        <v>42</v>
      </c>
      <c r="M36" s="8"/>
      <c r="N36" s="27" t="s">
        <v>68</v>
      </c>
      <c r="O36" s="27"/>
      <c r="P36" s="27" t="s">
        <v>91</v>
      </c>
      <c r="Q36" s="27"/>
      <c r="R36" s="10">
        <v>2</v>
      </c>
      <c r="S36" s="4" t="s">
        <v>94</v>
      </c>
      <c r="T36" s="11">
        <v>332.56</v>
      </c>
      <c r="U36" s="11">
        <v>2.2749999999999999</v>
      </c>
      <c r="V36" s="19">
        <v>2.2749999999999999</v>
      </c>
      <c r="W36" s="19"/>
      <c r="X36" s="19"/>
      <c r="Y36" s="15" t="s">
        <v>128</v>
      </c>
      <c r="Z36" s="15"/>
      <c r="AA36" s="15"/>
      <c r="AB36" s="15"/>
      <c r="AC36" s="15"/>
    </row>
    <row r="37" spans="1:30" x14ac:dyDescent="0.45">
      <c r="A37" s="49">
        <v>1</v>
      </c>
      <c r="B37" s="46" t="s">
        <v>187</v>
      </c>
      <c r="C37" s="46"/>
      <c r="D37" s="46"/>
      <c r="E37" s="46"/>
      <c r="F37" s="44" t="s">
        <v>188</v>
      </c>
      <c r="G37" s="46" t="s">
        <v>187</v>
      </c>
      <c r="H37" s="46"/>
      <c r="I37" s="46"/>
      <c r="J37" s="47"/>
      <c r="K37" s="47" t="s">
        <v>42</v>
      </c>
      <c r="L37" s="47" t="s">
        <v>42</v>
      </c>
      <c r="M37" s="47"/>
      <c r="N37" s="46" t="s">
        <v>186</v>
      </c>
      <c r="O37" s="46"/>
      <c r="P37" s="46" t="s">
        <v>185</v>
      </c>
      <c r="Q37" s="46"/>
      <c r="R37" s="45">
        <v>1</v>
      </c>
      <c r="S37" s="44" t="s">
        <v>94</v>
      </c>
      <c r="T37" s="43">
        <v>566</v>
      </c>
      <c r="U37" s="43">
        <v>0.98599999999999999</v>
      </c>
      <c r="V37" s="42">
        <v>0.98599999999999999</v>
      </c>
      <c r="W37" s="42"/>
      <c r="X37" s="42"/>
      <c r="Y37" s="41" t="s">
        <v>190</v>
      </c>
      <c r="Z37" s="41"/>
      <c r="AA37" s="41"/>
      <c r="AB37" s="41"/>
      <c r="AC37" s="41"/>
      <c r="AD37" s="12"/>
    </row>
    <row r="38" spans="1:30" ht="14.25" customHeight="1" x14ac:dyDescent="0.45">
      <c r="A38" s="49">
        <v>2</v>
      </c>
      <c r="B38" s="46" t="s">
        <v>187</v>
      </c>
      <c r="C38" s="46"/>
      <c r="D38" s="46"/>
      <c r="E38" s="46"/>
      <c r="F38" s="44" t="s">
        <v>188</v>
      </c>
      <c r="G38" s="46" t="s">
        <v>187</v>
      </c>
      <c r="H38" s="46"/>
      <c r="I38" s="46"/>
      <c r="J38" s="47"/>
      <c r="K38" s="47" t="s">
        <v>42</v>
      </c>
      <c r="L38" s="47" t="s">
        <v>42</v>
      </c>
      <c r="M38" s="47"/>
      <c r="N38" s="46" t="s">
        <v>186</v>
      </c>
      <c r="O38" s="46"/>
      <c r="P38" s="46" t="s">
        <v>185</v>
      </c>
      <c r="Q38" s="46"/>
      <c r="R38" s="45">
        <v>1</v>
      </c>
      <c r="S38" s="44" t="s">
        <v>94</v>
      </c>
      <c r="T38" s="43">
        <v>0</v>
      </c>
      <c r="U38" s="43">
        <v>0.58599999999999997</v>
      </c>
      <c r="V38" s="42">
        <v>0.58599999999999997</v>
      </c>
      <c r="W38" s="42"/>
      <c r="X38" s="42"/>
      <c r="Y38" s="41" t="s">
        <v>189</v>
      </c>
      <c r="Z38" s="41"/>
      <c r="AA38" s="41"/>
      <c r="AB38" s="41"/>
      <c r="AC38" s="41"/>
    </row>
    <row r="39" spans="1:30" ht="14.25" customHeight="1" x14ac:dyDescent="0.45">
      <c r="A39" s="49">
        <v>3</v>
      </c>
      <c r="B39" s="46" t="s">
        <v>187</v>
      </c>
      <c r="C39" s="46"/>
      <c r="D39" s="46"/>
      <c r="E39" s="46"/>
      <c r="F39" s="44" t="s">
        <v>188</v>
      </c>
      <c r="G39" s="46" t="s">
        <v>187</v>
      </c>
      <c r="H39" s="46"/>
      <c r="I39" s="46"/>
      <c r="J39" s="47"/>
      <c r="K39" s="47" t="s">
        <v>42</v>
      </c>
      <c r="L39" s="47" t="s">
        <v>42</v>
      </c>
      <c r="M39" s="47"/>
      <c r="N39" s="46" t="s">
        <v>186</v>
      </c>
      <c r="O39" s="46"/>
      <c r="P39" s="46" t="s">
        <v>185</v>
      </c>
      <c r="Q39" s="46"/>
      <c r="R39" s="45">
        <v>1</v>
      </c>
      <c r="S39" s="44" t="s">
        <v>94</v>
      </c>
      <c r="T39" s="43">
        <v>0</v>
      </c>
      <c r="U39" s="43">
        <v>0.34399999999999997</v>
      </c>
      <c r="V39" s="42">
        <v>0.34399999999999997</v>
      </c>
      <c r="W39" s="42"/>
      <c r="X39" s="42"/>
      <c r="Y39" s="41" t="s">
        <v>184</v>
      </c>
      <c r="Z39" s="41"/>
      <c r="AA39" s="41"/>
      <c r="AB39" s="41"/>
      <c r="AC39" s="41"/>
    </row>
    <row r="40" spans="1:30" ht="14.25" customHeight="1" x14ac:dyDescent="0.45">
      <c r="A40" s="49">
        <v>4</v>
      </c>
      <c r="B40" s="46" t="s">
        <v>187</v>
      </c>
      <c r="C40" s="46"/>
      <c r="D40" s="46"/>
      <c r="E40" s="46"/>
      <c r="F40" s="44" t="s">
        <v>188</v>
      </c>
      <c r="G40" s="46" t="s">
        <v>187</v>
      </c>
      <c r="H40" s="46"/>
      <c r="I40" s="46"/>
      <c r="J40" s="47"/>
      <c r="K40" s="47" t="s">
        <v>42</v>
      </c>
      <c r="L40" s="47" t="s">
        <v>42</v>
      </c>
      <c r="M40" s="47"/>
      <c r="N40" s="46" t="s">
        <v>186</v>
      </c>
      <c r="O40" s="46"/>
      <c r="P40" s="46" t="s">
        <v>185</v>
      </c>
      <c r="Q40" s="46"/>
      <c r="R40" s="45">
        <v>1</v>
      </c>
      <c r="S40" s="44" t="s">
        <v>94</v>
      </c>
      <c r="T40" s="43">
        <v>0</v>
      </c>
      <c r="U40" s="43">
        <v>0.98599999999999999</v>
      </c>
      <c r="V40" s="42">
        <v>0.98599999999999999</v>
      </c>
      <c r="W40" s="42"/>
      <c r="X40" s="42"/>
      <c r="Y40" s="41" t="s">
        <v>190</v>
      </c>
      <c r="Z40" s="41"/>
      <c r="AA40" s="41"/>
      <c r="AB40" s="41"/>
      <c r="AC40" s="41"/>
    </row>
    <row r="41" spans="1:30" ht="14.25" customHeight="1" x14ac:dyDescent="0.45">
      <c r="A41" s="49">
        <v>5</v>
      </c>
      <c r="B41" s="46" t="s">
        <v>187</v>
      </c>
      <c r="C41" s="46"/>
      <c r="D41" s="46"/>
      <c r="E41" s="46"/>
      <c r="F41" s="44" t="s">
        <v>188</v>
      </c>
      <c r="G41" s="46" t="s">
        <v>187</v>
      </c>
      <c r="H41" s="46"/>
      <c r="I41" s="46"/>
      <c r="J41" s="47"/>
      <c r="K41" s="47" t="s">
        <v>42</v>
      </c>
      <c r="L41" s="47" t="s">
        <v>42</v>
      </c>
      <c r="M41" s="47"/>
      <c r="N41" s="46" t="s">
        <v>186</v>
      </c>
      <c r="O41" s="46"/>
      <c r="P41" s="46" t="s">
        <v>185</v>
      </c>
      <c r="Q41" s="46"/>
      <c r="R41" s="45">
        <v>1</v>
      </c>
      <c r="S41" s="44" t="s">
        <v>94</v>
      </c>
      <c r="T41" s="43">
        <v>0</v>
      </c>
      <c r="U41" s="43">
        <v>0.58599999999999997</v>
      </c>
      <c r="V41" s="42">
        <v>0.58599999999999997</v>
      </c>
      <c r="W41" s="42"/>
      <c r="X41" s="42"/>
      <c r="Y41" s="41" t="s">
        <v>189</v>
      </c>
      <c r="Z41" s="41"/>
      <c r="AA41" s="41"/>
      <c r="AB41" s="41"/>
      <c r="AC41" s="41"/>
    </row>
    <row r="42" spans="1:30" x14ac:dyDescent="0.45">
      <c r="A42" s="49">
        <v>6</v>
      </c>
      <c r="B42" s="46" t="s">
        <v>187</v>
      </c>
      <c r="C42" s="46"/>
      <c r="D42" s="46"/>
      <c r="E42" s="46"/>
      <c r="F42" s="44" t="s">
        <v>188</v>
      </c>
      <c r="G42" s="46" t="s">
        <v>187</v>
      </c>
      <c r="H42" s="46"/>
      <c r="I42" s="46"/>
      <c r="J42" s="47"/>
      <c r="K42" s="47" t="s">
        <v>42</v>
      </c>
      <c r="L42" s="47" t="s">
        <v>42</v>
      </c>
      <c r="M42" s="47"/>
      <c r="N42" s="46" t="s">
        <v>186</v>
      </c>
      <c r="O42" s="46"/>
      <c r="P42" s="46" t="s">
        <v>185</v>
      </c>
      <c r="Q42" s="46"/>
      <c r="R42" s="45">
        <v>1</v>
      </c>
      <c r="S42" s="44" t="s">
        <v>94</v>
      </c>
      <c r="T42" s="43">
        <v>0</v>
      </c>
      <c r="U42" s="43">
        <v>0.58599999999999997</v>
      </c>
      <c r="V42" s="42">
        <v>0.58599999999999997</v>
      </c>
      <c r="W42" s="42"/>
      <c r="X42" s="42"/>
      <c r="Y42" s="41" t="s">
        <v>189</v>
      </c>
      <c r="Z42" s="41"/>
      <c r="AA42" s="41"/>
      <c r="AB42" s="41"/>
      <c r="AC42" s="41"/>
    </row>
    <row r="43" spans="1:30" ht="14.25" customHeight="1" x14ac:dyDescent="0.45">
      <c r="A43" s="49">
        <v>7</v>
      </c>
      <c r="B43" s="46" t="s">
        <v>187</v>
      </c>
      <c r="C43" s="46"/>
      <c r="D43" s="46"/>
      <c r="E43" s="46"/>
      <c r="F43" s="44" t="s">
        <v>188</v>
      </c>
      <c r="G43" s="46" t="s">
        <v>187</v>
      </c>
      <c r="H43" s="46"/>
      <c r="I43" s="46"/>
      <c r="J43" s="47"/>
      <c r="K43" s="47" t="s">
        <v>42</v>
      </c>
      <c r="L43" s="47" t="s">
        <v>42</v>
      </c>
      <c r="M43" s="47"/>
      <c r="N43" s="46" t="s">
        <v>186</v>
      </c>
      <c r="O43" s="46"/>
      <c r="P43" s="46" t="s">
        <v>185</v>
      </c>
      <c r="Q43" s="46"/>
      <c r="R43" s="45">
        <v>1</v>
      </c>
      <c r="S43" s="44" t="s">
        <v>94</v>
      </c>
      <c r="T43" s="43">
        <v>0</v>
      </c>
      <c r="U43" s="43">
        <v>0.58599999999999997</v>
      </c>
      <c r="V43" s="42">
        <v>0.58599999999999997</v>
      </c>
      <c r="W43" s="42"/>
      <c r="X43" s="42"/>
      <c r="Y43" s="41" t="s">
        <v>189</v>
      </c>
      <c r="Z43" s="41"/>
      <c r="AA43" s="41"/>
      <c r="AB43" s="41"/>
      <c r="AC43" s="41"/>
    </row>
    <row r="44" spans="1:30" ht="14.25" customHeight="1" x14ac:dyDescent="0.45">
      <c r="A44" s="49">
        <v>8</v>
      </c>
      <c r="B44" s="46" t="s">
        <v>187</v>
      </c>
      <c r="C44" s="46"/>
      <c r="D44" s="46"/>
      <c r="E44" s="46"/>
      <c r="F44" s="44" t="s">
        <v>188</v>
      </c>
      <c r="G44" s="46" t="s">
        <v>187</v>
      </c>
      <c r="H44" s="46"/>
      <c r="I44" s="46"/>
      <c r="J44" s="47"/>
      <c r="K44" s="47" t="s">
        <v>42</v>
      </c>
      <c r="L44" s="47" t="s">
        <v>42</v>
      </c>
      <c r="M44" s="47"/>
      <c r="N44" s="46" t="s">
        <v>186</v>
      </c>
      <c r="O44" s="46"/>
      <c r="P44" s="46" t="s">
        <v>185</v>
      </c>
      <c r="Q44" s="46"/>
      <c r="R44" s="45">
        <v>1</v>
      </c>
      <c r="S44" s="44" t="s">
        <v>94</v>
      </c>
      <c r="T44" s="43">
        <v>0</v>
      </c>
      <c r="U44" s="43">
        <v>0.34399999999999997</v>
      </c>
      <c r="V44" s="42">
        <v>0.34399999999999997</v>
      </c>
      <c r="W44" s="42"/>
      <c r="X44" s="42"/>
      <c r="Y44" s="41" t="s">
        <v>184</v>
      </c>
      <c r="Z44" s="41"/>
      <c r="AA44" s="41"/>
      <c r="AB44" s="41"/>
      <c r="AC44" s="41"/>
    </row>
    <row r="45" spans="1:30" ht="14.25" customHeight="1" x14ac:dyDescent="0.45">
      <c r="A45" s="49">
        <v>9</v>
      </c>
      <c r="B45" s="46" t="s">
        <v>183</v>
      </c>
      <c r="C45" s="46"/>
      <c r="D45" s="46"/>
      <c r="E45" s="46"/>
      <c r="F45" s="48"/>
      <c r="G45" s="46" t="s">
        <v>183</v>
      </c>
      <c r="H45" s="46"/>
      <c r="I45" s="46"/>
      <c r="J45" s="47"/>
      <c r="K45" s="47" t="s">
        <v>42</v>
      </c>
      <c r="L45" s="47" t="s">
        <v>42</v>
      </c>
      <c r="M45" s="50" t="s">
        <v>48</v>
      </c>
      <c r="N45" s="46" t="s">
        <v>182</v>
      </c>
      <c r="O45" s="46"/>
      <c r="P45" s="46" t="s">
        <v>181</v>
      </c>
      <c r="Q45" s="46"/>
      <c r="R45" s="45">
        <v>1</v>
      </c>
      <c r="S45" s="44" t="s">
        <v>94</v>
      </c>
      <c r="T45" s="43">
        <v>600</v>
      </c>
      <c r="U45" s="43">
        <v>2.0990000000000002</v>
      </c>
      <c r="V45" s="42">
        <v>2.0990000000000002</v>
      </c>
      <c r="W45" s="42"/>
      <c r="X45" s="42"/>
      <c r="Y45" s="41" t="s">
        <v>180</v>
      </c>
      <c r="Z45" s="41"/>
      <c r="AA45" s="41"/>
      <c r="AB45" s="41"/>
      <c r="AC45" s="41"/>
    </row>
    <row r="46" spans="1:30" ht="14.25" customHeight="1" x14ac:dyDescent="0.45">
      <c r="A46" s="49">
        <v>10</v>
      </c>
      <c r="B46" s="46" t="s">
        <v>179</v>
      </c>
      <c r="C46" s="46"/>
      <c r="D46" s="46"/>
      <c r="E46" s="46"/>
      <c r="F46" s="48"/>
      <c r="G46" s="46" t="s">
        <v>179</v>
      </c>
      <c r="H46" s="46"/>
      <c r="I46" s="46"/>
      <c r="J46" s="47"/>
      <c r="K46" s="47" t="s">
        <v>42</v>
      </c>
      <c r="L46" s="47" t="s">
        <v>42</v>
      </c>
      <c r="M46" s="50" t="s">
        <v>48</v>
      </c>
      <c r="N46" s="46" t="s">
        <v>178</v>
      </c>
      <c r="O46" s="46"/>
      <c r="P46" s="46" t="s">
        <v>177</v>
      </c>
      <c r="Q46" s="46"/>
      <c r="R46" s="45">
        <v>1</v>
      </c>
      <c r="S46" s="48" t="s">
        <v>176</v>
      </c>
      <c r="T46" s="43">
        <v>2950</v>
      </c>
      <c r="U46" s="43">
        <v>7.8419999999999996</v>
      </c>
      <c r="V46" s="42">
        <v>7.8419999999999996</v>
      </c>
      <c r="W46" s="42"/>
      <c r="X46" s="42"/>
      <c r="Y46" s="41" t="s">
        <v>175</v>
      </c>
      <c r="Z46" s="41"/>
      <c r="AA46" s="41"/>
      <c r="AB46" s="41"/>
      <c r="AC46" s="41"/>
      <c r="AD46" s="12" t="s">
        <v>174</v>
      </c>
    </row>
    <row r="47" spans="1:30" x14ac:dyDescent="0.45">
      <c r="A47" s="49">
        <v>11</v>
      </c>
      <c r="B47" s="46" t="s">
        <v>173</v>
      </c>
      <c r="C47" s="46"/>
      <c r="D47" s="46"/>
      <c r="E47" s="46"/>
      <c r="F47" s="48"/>
      <c r="G47" s="46" t="s">
        <v>173</v>
      </c>
      <c r="H47" s="46"/>
      <c r="I47" s="46"/>
      <c r="J47" s="47"/>
      <c r="K47" s="47" t="s">
        <v>42</v>
      </c>
      <c r="L47" s="47" t="s">
        <v>42</v>
      </c>
      <c r="M47" s="47"/>
      <c r="N47" s="46" t="s">
        <v>65</v>
      </c>
      <c r="O47" s="46"/>
      <c r="P47" s="46" t="s">
        <v>88</v>
      </c>
      <c r="Q47" s="46"/>
      <c r="R47" s="45">
        <v>5</v>
      </c>
      <c r="S47" s="44" t="s">
        <v>95</v>
      </c>
      <c r="T47" s="43">
        <v>363</v>
      </c>
      <c r="U47" s="43">
        <v>1.01</v>
      </c>
      <c r="V47" s="42">
        <v>1.01</v>
      </c>
      <c r="W47" s="42"/>
      <c r="X47" s="42"/>
      <c r="Y47" s="51"/>
      <c r="Z47" s="51"/>
      <c r="AA47" s="51"/>
      <c r="AB47" s="51"/>
      <c r="AC47" s="51"/>
    </row>
    <row r="48" spans="1:30" x14ac:dyDescent="0.45">
      <c r="A48" s="49">
        <v>12</v>
      </c>
      <c r="B48" s="46" t="s">
        <v>172</v>
      </c>
      <c r="C48" s="46"/>
      <c r="D48" s="46"/>
      <c r="E48" s="46"/>
      <c r="F48" s="48"/>
      <c r="G48" s="46" t="s">
        <v>172</v>
      </c>
      <c r="H48" s="46"/>
      <c r="I48" s="46"/>
      <c r="J48" s="47"/>
      <c r="K48" s="47" t="s">
        <v>42</v>
      </c>
      <c r="L48" s="47" t="s">
        <v>42</v>
      </c>
      <c r="M48" s="50" t="s">
        <v>48</v>
      </c>
      <c r="N48" s="46" t="s">
        <v>54</v>
      </c>
      <c r="O48" s="46"/>
      <c r="P48" s="46" t="s">
        <v>77</v>
      </c>
      <c r="Q48" s="46"/>
      <c r="R48" s="45">
        <v>15</v>
      </c>
      <c r="S48" s="44" t="s">
        <v>96</v>
      </c>
      <c r="T48" s="43">
        <v>2100</v>
      </c>
      <c r="U48" s="43">
        <v>4.5490000000000004</v>
      </c>
      <c r="V48" s="42">
        <v>4.5490000000000004</v>
      </c>
      <c r="W48" s="42"/>
      <c r="X48" s="42"/>
      <c r="Y48" s="41" t="s">
        <v>171</v>
      </c>
      <c r="Z48" s="41"/>
      <c r="AA48" s="41"/>
      <c r="AB48" s="41"/>
      <c r="AC48" s="41"/>
      <c r="AD48" s="12" t="s">
        <v>170</v>
      </c>
    </row>
    <row r="49" spans="1:30" x14ac:dyDescent="0.45">
      <c r="A49" s="49">
        <v>13</v>
      </c>
      <c r="B49" s="46" t="s">
        <v>169</v>
      </c>
      <c r="C49" s="46"/>
      <c r="D49" s="46"/>
      <c r="E49" s="46"/>
      <c r="F49" s="48"/>
      <c r="G49" s="46" t="s">
        <v>169</v>
      </c>
      <c r="H49" s="46"/>
      <c r="I49" s="46"/>
      <c r="J49" s="47"/>
      <c r="K49" s="47" t="s">
        <v>42</v>
      </c>
      <c r="L49" s="47" t="s">
        <v>42</v>
      </c>
      <c r="M49" s="50" t="s">
        <v>48</v>
      </c>
      <c r="N49" s="46" t="s">
        <v>168</v>
      </c>
      <c r="O49" s="46"/>
      <c r="P49" s="46" t="s">
        <v>167</v>
      </c>
      <c r="Q49" s="46"/>
      <c r="R49" s="45">
        <v>9</v>
      </c>
      <c r="S49" s="44" t="s">
        <v>94</v>
      </c>
      <c r="T49" s="43">
        <v>544</v>
      </c>
      <c r="U49" s="43">
        <v>16.896000000000001</v>
      </c>
      <c r="V49" s="42">
        <v>16.896000000000001</v>
      </c>
      <c r="W49" s="42"/>
      <c r="X49" s="42"/>
      <c r="Y49" s="41" t="s">
        <v>166</v>
      </c>
      <c r="Z49" s="41"/>
      <c r="AA49" s="41"/>
      <c r="AB49" s="41"/>
      <c r="AC49" s="41"/>
      <c r="AD49" s="12" t="s">
        <v>165</v>
      </c>
    </row>
    <row r="50" spans="1:30" x14ac:dyDescent="0.45">
      <c r="A50" s="49">
        <v>14</v>
      </c>
      <c r="B50" s="46" t="s">
        <v>164</v>
      </c>
      <c r="C50" s="46"/>
      <c r="D50" s="46"/>
      <c r="E50" s="46"/>
      <c r="F50" s="48"/>
      <c r="G50" s="46" t="s">
        <v>164</v>
      </c>
      <c r="H50" s="46"/>
      <c r="I50" s="46"/>
      <c r="J50" s="47"/>
      <c r="K50" s="47" t="s">
        <v>42</v>
      </c>
      <c r="L50" s="47" t="s">
        <v>42</v>
      </c>
      <c r="M50" s="50" t="s">
        <v>48</v>
      </c>
      <c r="N50" s="46" t="s">
        <v>163</v>
      </c>
      <c r="O50" s="46"/>
      <c r="P50" s="46" t="s">
        <v>162</v>
      </c>
      <c r="Q50" s="46"/>
      <c r="R50" s="45">
        <v>1</v>
      </c>
      <c r="S50" s="44" t="s">
        <v>94</v>
      </c>
      <c r="T50" s="43">
        <v>358</v>
      </c>
      <c r="U50" s="43">
        <v>1.655</v>
      </c>
      <c r="V50" s="42">
        <v>1.655</v>
      </c>
      <c r="W50" s="42"/>
      <c r="X50" s="42"/>
      <c r="Y50" s="41" t="s">
        <v>161</v>
      </c>
      <c r="Z50" s="41"/>
      <c r="AA50" s="41"/>
      <c r="AB50" s="41"/>
      <c r="AC50" s="41"/>
    </row>
    <row r="51" spans="1:30" x14ac:dyDescent="0.45">
      <c r="A51" s="49">
        <v>15</v>
      </c>
      <c r="B51" s="46" t="s">
        <v>160</v>
      </c>
      <c r="C51" s="46"/>
      <c r="D51" s="46"/>
      <c r="E51" s="46"/>
      <c r="F51" s="48"/>
      <c r="G51" s="46" t="s">
        <v>160</v>
      </c>
      <c r="H51" s="46"/>
      <c r="I51" s="46"/>
      <c r="J51" s="47"/>
      <c r="K51" s="47" t="s">
        <v>42</v>
      </c>
      <c r="L51" s="47" t="s">
        <v>42</v>
      </c>
      <c r="M51" s="47"/>
      <c r="N51" s="46" t="s">
        <v>159</v>
      </c>
      <c r="O51" s="46"/>
      <c r="P51" s="46" t="s">
        <v>158</v>
      </c>
      <c r="Q51" s="46"/>
      <c r="R51" s="45">
        <v>8</v>
      </c>
      <c r="S51" s="44" t="s">
        <v>157</v>
      </c>
      <c r="T51" s="43">
        <v>680</v>
      </c>
      <c r="U51" s="43">
        <v>0.621</v>
      </c>
      <c r="V51" s="42">
        <v>0.621</v>
      </c>
      <c r="W51" s="42"/>
      <c r="X51" s="42"/>
      <c r="Y51" s="41" t="s">
        <v>156</v>
      </c>
      <c r="Z51" s="41"/>
      <c r="AA51" s="41"/>
      <c r="AB51" s="41"/>
      <c r="AC51" s="41"/>
    </row>
    <row r="52" spans="1:30" ht="26.25" x14ac:dyDescent="0.45">
      <c r="A52" s="49">
        <v>16</v>
      </c>
      <c r="B52" s="46" t="s">
        <v>154</v>
      </c>
      <c r="C52" s="46"/>
      <c r="D52" s="46"/>
      <c r="E52" s="46"/>
      <c r="F52" s="44" t="s">
        <v>155</v>
      </c>
      <c r="G52" s="46" t="s">
        <v>154</v>
      </c>
      <c r="H52" s="46"/>
      <c r="I52" s="46"/>
      <c r="J52" s="47"/>
      <c r="K52" s="47" t="s">
        <v>42</v>
      </c>
      <c r="L52" s="47" t="s">
        <v>42</v>
      </c>
      <c r="M52" s="47"/>
      <c r="N52" s="46" t="s">
        <v>153</v>
      </c>
      <c r="O52" s="46"/>
      <c r="P52" s="46" t="s">
        <v>152</v>
      </c>
      <c r="Q52" s="46"/>
      <c r="R52" s="45">
        <v>1</v>
      </c>
      <c r="S52" s="44" t="s">
        <v>94</v>
      </c>
      <c r="T52" s="43">
        <v>500</v>
      </c>
      <c r="U52" s="43">
        <v>1.67</v>
      </c>
      <c r="V52" s="42">
        <v>1.67</v>
      </c>
      <c r="W52" s="42"/>
      <c r="X52" s="42"/>
      <c r="Y52" s="41" t="s">
        <v>151</v>
      </c>
      <c r="Z52" s="41"/>
      <c r="AA52" s="41"/>
      <c r="AB52" s="41"/>
      <c r="AC52" s="41"/>
    </row>
    <row r="53" spans="1:30" x14ac:dyDescent="0.45">
      <c r="A53" s="49">
        <v>17</v>
      </c>
      <c r="B53" s="46" t="s">
        <v>149</v>
      </c>
      <c r="C53" s="46"/>
      <c r="D53" s="46"/>
      <c r="E53" s="46"/>
      <c r="F53" s="48"/>
      <c r="G53" s="46" t="s">
        <v>149</v>
      </c>
      <c r="H53" s="46"/>
      <c r="I53" s="46"/>
      <c r="J53" s="47"/>
      <c r="K53" s="47" t="s">
        <v>42</v>
      </c>
      <c r="L53" s="47" t="s">
        <v>42</v>
      </c>
      <c r="M53" s="47"/>
      <c r="N53" s="46" t="s">
        <v>148</v>
      </c>
      <c r="O53" s="46"/>
      <c r="P53" s="46" t="s">
        <v>147</v>
      </c>
      <c r="Q53" s="46"/>
      <c r="R53" s="45">
        <v>9</v>
      </c>
      <c r="S53" s="44" t="s">
        <v>94</v>
      </c>
      <c r="T53" s="43">
        <v>6238</v>
      </c>
      <c r="U53" s="43">
        <v>5.3049999999999997</v>
      </c>
      <c r="V53" s="42">
        <v>5.3049999999999997</v>
      </c>
      <c r="W53" s="42"/>
      <c r="X53" s="42"/>
      <c r="Y53" s="41" t="s">
        <v>150</v>
      </c>
      <c r="Z53" s="41"/>
      <c r="AA53" s="41"/>
      <c r="AB53" s="41"/>
      <c r="AC53" s="41"/>
    </row>
    <row r="54" spans="1:30" ht="14.25" customHeight="1" x14ac:dyDescent="0.45">
      <c r="A54" s="49">
        <v>18</v>
      </c>
      <c r="B54" s="46" t="s">
        <v>149</v>
      </c>
      <c r="C54" s="46"/>
      <c r="D54" s="46"/>
      <c r="E54" s="46"/>
      <c r="F54" s="48"/>
      <c r="G54" s="46" t="s">
        <v>149</v>
      </c>
      <c r="H54" s="46"/>
      <c r="I54" s="46"/>
      <c r="J54" s="47"/>
      <c r="K54" s="47" t="s">
        <v>42</v>
      </c>
      <c r="L54" s="47" t="s">
        <v>42</v>
      </c>
      <c r="M54" s="47"/>
      <c r="N54" s="46" t="s">
        <v>148</v>
      </c>
      <c r="O54" s="46"/>
      <c r="P54" s="46" t="s">
        <v>147</v>
      </c>
      <c r="Q54" s="46"/>
      <c r="R54" s="45">
        <v>3</v>
      </c>
      <c r="S54" s="44" t="s">
        <v>146</v>
      </c>
      <c r="T54" s="43">
        <v>0</v>
      </c>
      <c r="U54" s="43">
        <v>0.94899999999999995</v>
      </c>
      <c r="V54" s="42">
        <v>0.94899999999999995</v>
      </c>
      <c r="W54" s="42"/>
      <c r="X54" s="42"/>
      <c r="Y54" s="41" t="s">
        <v>145</v>
      </c>
      <c r="Z54" s="41"/>
      <c r="AA54" s="41"/>
      <c r="AB54" s="41"/>
      <c r="AC54" s="41"/>
    </row>
    <row r="55" spans="1:30" x14ac:dyDescent="0.45">
      <c r="A55" s="49">
        <v>19</v>
      </c>
      <c r="B55" s="46" t="s">
        <v>144</v>
      </c>
      <c r="C55" s="46"/>
      <c r="D55" s="46"/>
      <c r="E55" s="46"/>
      <c r="F55" s="48"/>
      <c r="G55" s="46" t="s">
        <v>144</v>
      </c>
      <c r="H55" s="46"/>
      <c r="I55" s="46"/>
      <c r="J55" s="47"/>
      <c r="K55" s="47" t="s">
        <v>42</v>
      </c>
      <c r="L55" s="47" t="s">
        <v>42</v>
      </c>
      <c r="M55" s="47"/>
      <c r="N55" s="46" t="s">
        <v>143</v>
      </c>
      <c r="O55" s="46"/>
      <c r="P55" s="46" t="s">
        <v>88</v>
      </c>
      <c r="Q55" s="46"/>
      <c r="R55" s="45">
        <v>3</v>
      </c>
      <c r="S55" s="44" t="s">
        <v>95</v>
      </c>
      <c r="T55" s="43">
        <v>226</v>
      </c>
      <c r="U55" s="43">
        <v>0.65400000000000003</v>
      </c>
      <c r="V55" s="42">
        <v>0.65400000000000003</v>
      </c>
      <c r="W55" s="42"/>
      <c r="X55" s="42"/>
      <c r="Y55" s="41" t="s">
        <v>142</v>
      </c>
      <c r="Z55" s="41"/>
      <c r="AA55" s="41"/>
      <c r="AB55" s="41"/>
      <c r="AC55" s="41"/>
    </row>
    <row r="56" spans="1:30" ht="14.25" customHeight="1" x14ac:dyDescent="0.45">
      <c r="A56" s="49">
        <v>20</v>
      </c>
      <c r="B56" s="46" t="s">
        <v>141</v>
      </c>
      <c r="C56" s="46"/>
      <c r="D56" s="46"/>
      <c r="E56" s="46"/>
      <c r="F56" s="48"/>
      <c r="G56" s="46" t="s">
        <v>141</v>
      </c>
      <c r="H56" s="46"/>
      <c r="I56" s="46"/>
      <c r="J56" s="47"/>
      <c r="K56" s="47" t="s">
        <v>42</v>
      </c>
      <c r="L56" s="47" t="s">
        <v>42</v>
      </c>
      <c r="M56" s="47"/>
      <c r="N56" s="46" t="s">
        <v>65</v>
      </c>
      <c r="O56" s="46"/>
      <c r="P56" s="46" t="s">
        <v>88</v>
      </c>
      <c r="Q56" s="46"/>
      <c r="R56" s="45">
        <v>1</v>
      </c>
      <c r="S56" s="44" t="s">
        <v>97</v>
      </c>
      <c r="T56" s="43">
        <v>160</v>
      </c>
      <c r="U56" s="43">
        <v>0.218</v>
      </c>
      <c r="V56" s="42">
        <v>0.218</v>
      </c>
      <c r="W56" s="42"/>
      <c r="X56" s="42"/>
      <c r="Y56" s="41" t="s">
        <v>140</v>
      </c>
      <c r="Z56" s="41"/>
      <c r="AA56" s="41"/>
      <c r="AB56" s="41"/>
      <c r="AC56" s="41"/>
    </row>
    <row r="57" spans="1:30" ht="26.25" x14ac:dyDescent="0.45">
      <c r="A57" s="49">
        <v>1</v>
      </c>
      <c r="B57" s="46" t="s">
        <v>238</v>
      </c>
      <c r="C57" s="46"/>
      <c r="D57" s="46"/>
      <c r="E57" s="46"/>
      <c r="F57" s="44" t="s">
        <v>34</v>
      </c>
      <c r="G57" s="46" t="s">
        <v>238</v>
      </c>
      <c r="H57" s="46"/>
      <c r="I57" s="46"/>
      <c r="J57" s="47"/>
      <c r="K57" s="47" t="s">
        <v>42</v>
      </c>
      <c r="L57" s="47" t="s">
        <v>42</v>
      </c>
      <c r="M57" s="50" t="s">
        <v>48</v>
      </c>
      <c r="N57" s="46" t="s">
        <v>50</v>
      </c>
      <c r="O57" s="46"/>
      <c r="P57" s="46" t="s">
        <v>73</v>
      </c>
      <c r="Q57" s="46"/>
      <c r="R57" s="45">
        <v>9</v>
      </c>
      <c r="S57" s="44" t="s">
        <v>94</v>
      </c>
      <c r="T57" s="43">
        <v>6480</v>
      </c>
      <c r="U57" s="43">
        <v>16.236999999999998</v>
      </c>
      <c r="V57" s="42">
        <v>16.236999999999998</v>
      </c>
      <c r="W57" s="42"/>
      <c r="X57" s="42"/>
      <c r="Y57" s="41" t="s">
        <v>237</v>
      </c>
      <c r="Z57" s="41"/>
      <c r="AA57" s="41"/>
      <c r="AB57" s="41"/>
      <c r="AC57" s="41"/>
      <c r="AD57" s="12" t="s">
        <v>218</v>
      </c>
    </row>
    <row r="58" spans="1:30" ht="14.25" customHeight="1" x14ac:dyDescent="0.45">
      <c r="A58" s="49">
        <v>2</v>
      </c>
      <c r="B58" s="46" t="s">
        <v>228</v>
      </c>
      <c r="C58" s="46"/>
      <c r="D58" s="46"/>
      <c r="E58" s="46"/>
      <c r="F58" s="48"/>
      <c r="G58" s="46" t="s">
        <v>228</v>
      </c>
      <c r="H58" s="46"/>
      <c r="I58" s="46"/>
      <c r="J58" s="47"/>
      <c r="K58" s="47" t="s">
        <v>42</v>
      </c>
      <c r="L58" s="47" t="s">
        <v>42</v>
      </c>
      <c r="M58" s="50" t="s">
        <v>48</v>
      </c>
      <c r="N58" s="46" t="s">
        <v>236</v>
      </c>
      <c r="O58" s="46"/>
      <c r="P58" s="46" t="s">
        <v>226</v>
      </c>
      <c r="Q58" s="46"/>
      <c r="R58" s="45">
        <v>1</v>
      </c>
      <c r="S58" s="44" t="s">
        <v>94</v>
      </c>
      <c r="T58" s="43">
        <v>4612</v>
      </c>
      <c r="U58" s="43">
        <v>0.78</v>
      </c>
      <c r="V58" s="42">
        <v>0.78</v>
      </c>
      <c r="W58" s="42"/>
      <c r="X58" s="42"/>
      <c r="Y58" s="41" t="s">
        <v>235</v>
      </c>
      <c r="Z58" s="41"/>
      <c r="AA58" s="41"/>
      <c r="AB58" s="41"/>
      <c r="AC58" s="41"/>
    </row>
    <row r="59" spans="1:30" x14ac:dyDescent="0.45">
      <c r="A59" s="49">
        <v>3</v>
      </c>
      <c r="B59" s="46" t="s">
        <v>228</v>
      </c>
      <c r="C59" s="46"/>
      <c r="D59" s="46"/>
      <c r="E59" s="46"/>
      <c r="F59" s="48"/>
      <c r="G59" s="46" t="s">
        <v>228</v>
      </c>
      <c r="H59" s="46"/>
      <c r="I59" s="46"/>
      <c r="J59" s="47"/>
      <c r="K59" s="47" t="s">
        <v>42</v>
      </c>
      <c r="L59" s="47" t="s">
        <v>42</v>
      </c>
      <c r="M59" s="50" t="s">
        <v>48</v>
      </c>
      <c r="N59" s="46" t="s">
        <v>234</v>
      </c>
      <c r="O59" s="46"/>
      <c r="P59" s="46" t="s">
        <v>226</v>
      </c>
      <c r="Q59" s="46"/>
      <c r="R59" s="45">
        <v>1</v>
      </c>
      <c r="S59" s="44" t="s">
        <v>94</v>
      </c>
      <c r="T59" s="43">
        <v>0</v>
      </c>
      <c r="U59" s="43">
        <v>1.9119999999999999</v>
      </c>
      <c r="V59" s="42">
        <v>1.9119999999999999</v>
      </c>
      <c r="W59" s="42"/>
      <c r="X59" s="42"/>
      <c r="Y59" s="41" t="s">
        <v>233</v>
      </c>
      <c r="Z59" s="41"/>
      <c r="AA59" s="41"/>
      <c r="AB59" s="41"/>
      <c r="AC59" s="41"/>
    </row>
    <row r="60" spans="1:30" ht="14.25" customHeight="1" x14ac:dyDescent="0.45">
      <c r="A60" s="49">
        <v>4</v>
      </c>
      <c r="B60" s="46" t="s">
        <v>228</v>
      </c>
      <c r="C60" s="46"/>
      <c r="D60" s="46"/>
      <c r="E60" s="46"/>
      <c r="F60" s="48"/>
      <c r="G60" s="46" t="s">
        <v>228</v>
      </c>
      <c r="H60" s="46"/>
      <c r="I60" s="46"/>
      <c r="J60" s="47"/>
      <c r="K60" s="47" t="s">
        <v>42</v>
      </c>
      <c r="L60" s="47" t="s">
        <v>42</v>
      </c>
      <c r="M60" s="50" t="s">
        <v>48</v>
      </c>
      <c r="N60" s="46" t="s">
        <v>232</v>
      </c>
      <c r="O60" s="46"/>
      <c r="P60" s="46" t="s">
        <v>226</v>
      </c>
      <c r="Q60" s="46"/>
      <c r="R60" s="45">
        <v>1</v>
      </c>
      <c r="S60" s="44" t="s">
        <v>94</v>
      </c>
      <c r="T60" s="43">
        <v>0</v>
      </c>
      <c r="U60" s="43">
        <v>1.6160000000000001</v>
      </c>
      <c r="V60" s="42">
        <v>1.6160000000000001</v>
      </c>
      <c r="W60" s="42"/>
      <c r="X60" s="42"/>
      <c r="Y60" s="41" t="s">
        <v>231</v>
      </c>
      <c r="Z60" s="41"/>
      <c r="AA60" s="41"/>
      <c r="AB60" s="41"/>
      <c r="AC60" s="41"/>
      <c r="AD60" s="12"/>
    </row>
    <row r="61" spans="1:30" ht="14.25" customHeight="1" x14ac:dyDescent="0.45">
      <c r="A61" s="49">
        <v>5</v>
      </c>
      <c r="B61" s="46" t="s">
        <v>228</v>
      </c>
      <c r="C61" s="46"/>
      <c r="D61" s="46"/>
      <c r="E61" s="46"/>
      <c r="F61" s="48"/>
      <c r="G61" s="46" t="s">
        <v>228</v>
      </c>
      <c r="H61" s="46"/>
      <c r="I61" s="46"/>
      <c r="J61" s="47"/>
      <c r="K61" s="47" t="s">
        <v>42</v>
      </c>
      <c r="L61" s="47" t="s">
        <v>42</v>
      </c>
      <c r="M61" s="50" t="s">
        <v>48</v>
      </c>
      <c r="N61" s="46" t="s">
        <v>230</v>
      </c>
      <c r="O61" s="46"/>
      <c r="P61" s="46" t="s">
        <v>226</v>
      </c>
      <c r="Q61" s="46"/>
      <c r="R61" s="45">
        <v>3</v>
      </c>
      <c r="S61" s="44" t="s">
        <v>94</v>
      </c>
      <c r="T61" s="43">
        <v>0</v>
      </c>
      <c r="U61" s="43">
        <v>3.6829999999999998</v>
      </c>
      <c r="V61" s="42">
        <v>3.6829999999999998</v>
      </c>
      <c r="W61" s="42"/>
      <c r="X61" s="42"/>
      <c r="Y61" s="41" t="s">
        <v>229</v>
      </c>
      <c r="Z61" s="41"/>
      <c r="AA61" s="41"/>
      <c r="AB61" s="41"/>
      <c r="AC61" s="41"/>
    </row>
    <row r="62" spans="1:30" ht="14.25" customHeight="1" x14ac:dyDescent="0.45">
      <c r="A62" s="49">
        <v>6</v>
      </c>
      <c r="B62" s="46" t="s">
        <v>228</v>
      </c>
      <c r="C62" s="46"/>
      <c r="D62" s="46"/>
      <c r="E62" s="46"/>
      <c r="F62" s="48"/>
      <c r="G62" s="46" t="s">
        <v>228</v>
      </c>
      <c r="H62" s="46"/>
      <c r="I62" s="46"/>
      <c r="J62" s="47"/>
      <c r="K62" s="47" t="s">
        <v>42</v>
      </c>
      <c r="L62" s="47" t="s">
        <v>42</v>
      </c>
      <c r="M62" s="50" t="s">
        <v>48</v>
      </c>
      <c r="N62" s="46" t="s">
        <v>227</v>
      </c>
      <c r="O62" s="46"/>
      <c r="P62" s="46" t="s">
        <v>226</v>
      </c>
      <c r="Q62" s="46"/>
      <c r="R62" s="45">
        <v>3</v>
      </c>
      <c r="S62" s="44" t="s">
        <v>146</v>
      </c>
      <c r="T62" s="43">
        <v>0</v>
      </c>
      <c r="U62" s="43">
        <v>0.23699999999999999</v>
      </c>
      <c r="V62" s="42">
        <v>0.23699999999999999</v>
      </c>
      <c r="W62" s="42"/>
      <c r="X62" s="42"/>
      <c r="Y62" s="51"/>
      <c r="Z62" s="51"/>
      <c r="AA62" s="51"/>
      <c r="AB62" s="51"/>
      <c r="AC62" s="51"/>
    </row>
    <row r="63" spans="1:30" ht="14.25" customHeight="1" x14ac:dyDescent="0.45">
      <c r="A63" s="49">
        <v>7</v>
      </c>
      <c r="B63" s="46" t="s">
        <v>225</v>
      </c>
      <c r="C63" s="46"/>
      <c r="D63" s="46"/>
      <c r="E63" s="46"/>
      <c r="F63" s="48"/>
      <c r="G63" s="46" t="s">
        <v>225</v>
      </c>
      <c r="H63" s="46"/>
      <c r="I63" s="46"/>
      <c r="J63" s="47"/>
      <c r="K63" s="47" t="s">
        <v>42</v>
      </c>
      <c r="L63" s="47" t="s">
        <v>42</v>
      </c>
      <c r="M63" s="50" t="s">
        <v>48</v>
      </c>
      <c r="N63" s="46" t="s">
        <v>224</v>
      </c>
      <c r="O63" s="46"/>
      <c r="P63" s="46" t="s">
        <v>223</v>
      </c>
      <c r="Q63" s="46"/>
      <c r="R63" s="45">
        <v>21</v>
      </c>
      <c r="S63" s="44" t="s">
        <v>146</v>
      </c>
      <c r="T63" s="43">
        <v>94.96</v>
      </c>
      <c r="U63" s="43">
        <v>1.4019999999999999</v>
      </c>
      <c r="V63" s="42">
        <v>1.4019999999999999</v>
      </c>
      <c r="W63" s="42"/>
      <c r="X63" s="42"/>
      <c r="Y63" s="41" t="s">
        <v>222</v>
      </c>
      <c r="Z63" s="41"/>
      <c r="AA63" s="41"/>
      <c r="AB63" s="41"/>
      <c r="AC63" s="41"/>
    </row>
    <row r="64" spans="1:30" ht="26.25" x14ac:dyDescent="0.45">
      <c r="A64" s="49">
        <v>8</v>
      </c>
      <c r="B64" s="46" t="s">
        <v>221</v>
      </c>
      <c r="C64" s="46"/>
      <c r="D64" s="46"/>
      <c r="E64" s="46"/>
      <c r="F64" s="44" t="s">
        <v>34</v>
      </c>
      <c r="G64" s="46" t="s">
        <v>221</v>
      </c>
      <c r="H64" s="46"/>
      <c r="I64" s="46"/>
      <c r="J64" s="47"/>
      <c r="K64" s="47" t="s">
        <v>42</v>
      </c>
      <c r="L64" s="47" t="s">
        <v>42</v>
      </c>
      <c r="M64" s="50" t="s">
        <v>48</v>
      </c>
      <c r="N64" s="46" t="s">
        <v>220</v>
      </c>
      <c r="O64" s="46"/>
      <c r="P64" s="46" t="s">
        <v>73</v>
      </c>
      <c r="Q64" s="46"/>
      <c r="R64" s="45">
        <v>8</v>
      </c>
      <c r="S64" s="44" t="s">
        <v>94</v>
      </c>
      <c r="T64" s="43">
        <v>5400</v>
      </c>
      <c r="U64" s="43">
        <v>14.364000000000001</v>
      </c>
      <c r="V64" s="42">
        <v>14.364000000000001</v>
      </c>
      <c r="W64" s="42"/>
      <c r="X64" s="42"/>
      <c r="Y64" s="41" t="s">
        <v>219</v>
      </c>
      <c r="Z64" s="41"/>
      <c r="AA64" s="41"/>
      <c r="AB64" s="41"/>
      <c r="AC64" s="41"/>
      <c r="AD64" s="12" t="s">
        <v>218</v>
      </c>
    </row>
    <row r="65" spans="1:29" ht="14.25" customHeight="1" x14ac:dyDescent="0.45">
      <c r="A65" s="49">
        <v>9</v>
      </c>
      <c r="B65" s="46" t="s">
        <v>217</v>
      </c>
      <c r="C65" s="46"/>
      <c r="D65" s="46"/>
      <c r="E65" s="46"/>
      <c r="F65" s="48"/>
      <c r="G65" s="46" t="s">
        <v>217</v>
      </c>
      <c r="H65" s="46"/>
      <c r="I65" s="46"/>
      <c r="J65" s="47"/>
      <c r="K65" s="47" t="s">
        <v>42</v>
      </c>
      <c r="L65" s="47" t="s">
        <v>42</v>
      </c>
      <c r="M65" s="47"/>
      <c r="N65" s="46" t="s">
        <v>216</v>
      </c>
      <c r="O65" s="46"/>
      <c r="P65" s="46" t="s">
        <v>215</v>
      </c>
      <c r="Q65" s="46"/>
      <c r="R65" s="45">
        <v>2</v>
      </c>
      <c r="S65" s="44" t="s">
        <v>157</v>
      </c>
      <c r="T65" s="43">
        <v>3393</v>
      </c>
      <c r="U65" s="43">
        <v>2.4049999999999998</v>
      </c>
      <c r="V65" s="42">
        <v>2.4049999999999998</v>
      </c>
      <c r="W65" s="42"/>
      <c r="X65" s="42"/>
      <c r="Y65" s="41" t="s">
        <v>214</v>
      </c>
      <c r="Z65" s="41"/>
      <c r="AA65" s="41"/>
      <c r="AB65" s="41"/>
      <c r="AC65" s="41"/>
    </row>
    <row r="66" spans="1:29" ht="14.25" customHeight="1" x14ac:dyDescent="0.45">
      <c r="A66" s="49">
        <v>10</v>
      </c>
      <c r="B66" s="46" t="s">
        <v>213</v>
      </c>
      <c r="C66" s="46"/>
      <c r="D66" s="46"/>
      <c r="E66" s="46"/>
      <c r="F66" s="48"/>
      <c r="G66" s="46" t="s">
        <v>213</v>
      </c>
      <c r="H66" s="46"/>
      <c r="I66" s="46"/>
      <c r="J66" s="47"/>
      <c r="K66" s="47" t="s">
        <v>42</v>
      </c>
      <c r="L66" s="47" t="s">
        <v>42</v>
      </c>
      <c r="M66" s="50" t="s">
        <v>48</v>
      </c>
      <c r="N66" s="46" t="s">
        <v>212</v>
      </c>
      <c r="O66" s="46"/>
      <c r="P66" s="46" t="s">
        <v>211</v>
      </c>
      <c r="Q66" s="46"/>
      <c r="R66" s="45">
        <v>2</v>
      </c>
      <c r="S66" s="44" t="s">
        <v>94</v>
      </c>
      <c r="T66" s="43">
        <v>1595</v>
      </c>
      <c r="U66" s="43">
        <v>3.242</v>
      </c>
      <c r="V66" s="42">
        <v>3.242</v>
      </c>
      <c r="W66" s="42"/>
      <c r="X66" s="42"/>
      <c r="Y66" s="41" t="s">
        <v>210</v>
      </c>
      <c r="Z66" s="41"/>
      <c r="AA66" s="41"/>
      <c r="AB66" s="41"/>
      <c r="AC66" s="41"/>
    </row>
    <row r="67" spans="1:29" x14ac:dyDescent="0.45">
      <c r="A67" s="49">
        <v>11</v>
      </c>
      <c r="B67" s="46" t="s">
        <v>209</v>
      </c>
      <c r="C67" s="46"/>
      <c r="D67" s="46"/>
      <c r="E67" s="46"/>
      <c r="F67" s="48"/>
      <c r="G67" s="46" t="s">
        <v>209</v>
      </c>
      <c r="H67" s="46"/>
      <c r="I67" s="46"/>
      <c r="J67" s="47"/>
      <c r="K67" s="47" t="s">
        <v>42</v>
      </c>
      <c r="L67" s="47" t="s">
        <v>42</v>
      </c>
      <c r="M67" s="50" t="s">
        <v>48</v>
      </c>
      <c r="N67" s="46" t="s">
        <v>208</v>
      </c>
      <c r="O67" s="46"/>
      <c r="P67" s="46" t="s">
        <v>207</v>
      </c>
      <c r="Q67" s="46"/>
      <c r="R67" s="45">
        <v>1</v>
      </c>
      <c r="S67" s="44" t="s">
        <v>94</v>
      </c>
      <c r="T67" s="43">
        <v>200</v>
      </c>
      <c r="U67" s="43">
        <v>0.56899999999999995</v>
      </c>
      <c r="V67" s="42">
        <v>0.56899999999999995</v>
      </c>
      <c r="W67" s="42"/>
      <c r="X67" s="42"/>
      <c r="Y67" s="41" t="s">
        <v>206</v>
      </c>
      <c r="Z67" s="41"/>
      <c r="AA67" s="41"/>
      <c r="AB67" s="41"/>
      <c r="AC67" s="41"/>
    </row>
    <row r="68" spans="1:29" x14ac:dyDescent="0.45">
      <c r="A68" s="49">
        <v>12</v>
      </c>
      <c r="B68" s="46" t="s">
        <v>205</v>
      </c>
      <c r="C68" s="46"/>
      <c r="D68" s="46"/>
      <c r="E68" s="46"/>
      <c r="F68" s="48"/>
      <c r="G68" s="46" t="s">
        <v>205</v>
      </c>
      <c r="H68" s="46"/>
      <c r="I68" s="46"/>
      <c r="J68" s="47"/>
      <c r="K68" s="47" t="s">
        <v>42</v>
      </c>
      <c r="L68" s="47" t="s">
        <v>42</v>
      </c>
      <c r="M68" s="50" t="s">
        <v>48</v>
      </c>
      <c r="N68" s="46" t="s">
        <v>204</v>
      </c>
      <c r="O68" s="46"/>
      <c r="P68" s="46" t="s">
        <v>203</v>
      </c>
      <c r="Q68" s="46"/>
      <c r="R68" s="45">
        <v>3</v>
      </c>
      <c r="S68" s="44" t="s">
        <v>97</v>
      </c>
      <c r="T68" s="43">
        <v>830</v>
      </c>
      <c r="U68" s="43">
        <v>1.694</v>
      </c>
      <c r="V68" s="42">
        <v>1.694</v>
      </c>
      <c r="W68" s="42"/>
      <c r="X68" s="42"/>
      <c r="Y68" s="41" t="s">
        <v>202</v>
      </c>
      <c r="Z68" s="41"/>
      <c r="AA68" s="41"/>
      <c r="AB68" s="41"/>
      <c r="AC68" s="41"/>
    </row>
    <row r="69" spans="1:29" x14ac:dyDescent="0.45">
      <c r="A69" s="49">
        <v>13</v>
      </c>
      <c r="B69" s="46" t="s">
        <v>201</v>
      </c>
      <c r="C69" s="46"/>
      <c r="D69" s="46"/>
      <c r="E69" s="46"/>
      <c r="F69" s="48"/>
      <c r="G69" s="46" t="s">
        <v>201</v>
      </c>
      <c r="H69" s="46"/>
      <c r="I69" s="46"/>
      <c r="J69" s="47"/>
      <c r="K69" s="47" t="s">
        <v>42</v>
      </c>
      <c r="L69" s="47" t="s">
        <v>42</v>
      </c>
      <c r="M69" s="47"/>
      <c r="N69" s="46" t="s">
        <v>200</v>
      </c>
      <c r="O69" s="46"/>
      <c r="P69" s="46" t="s">
        <v>199</v>
      </c>
      <c r="Q69" s="46"/>
      <c r="R69" s="45">
        <v>2</v>
      </c>
      <c r="S69" s="44" t="s">
        <v>94</v>
      </c>
      <c r="T69" s="43">
        <v>700</v>
      </c>
      <c r="U69" s="43">
        <v>1.268</v>
      </c>
      <c r="V69" s="42">
        <v>1.268</v>
      </c>
      <c r="W69" s="42"/>
      <c r="X69" s="42"/>
      <c r="Y69" s="41" t="s">
        <v>198</v>
      </c>
      <c r="Z69" s="41"/>
      <c r="AA69" s="41"/>
      <c r="AB69" s="41"/>
      <c r="AC69" s="41"/>
    </row>
    <row r="70" spans="1:29" ht="14.25" customHeight="1" x14ac:dyDescent="0.45">
      <c r="A70" s="49">
        <v>14</v>
      </c>
      <c r="B70" s="46" t="s">
        <v>197</v>
      </c>
      <c r="C70" s="46"/>
      <c r="D70" s="46"/>
      <c r="E70" s="46"/>
      <c r="F70" s="48"/>
      <c r="G70" s="46" t="s">
        <v>197</v>
      </c>
      <c r="H70" s="46"/>
      <c r="I70" s="46"/>
      <c r="J70" s="47"/>
      <c r="K70" s="47" t="s">
        <v>42</v>
      </c>
      <c r="L70" s="47" t="s">
        <v>42</v>
      </c>
      <c r="M70" s="47"/>
      <c r="N70" s="46" t="s">
        <v>186</v>
      </c>
      <c r="O70" s="46"/>
      <c r="P70" s="46" t="s">
        <v>196</v>
      </c>
      <c r="Q70" s="46"/>
      <c r="R70" s="45">
        <v>2</v>
      </c>
      <c r="S70" s="44" t="s">
        <v>94</v>
      </c>
      <c r="T70" s="43">
        <v>550</v>
      </c>
      <c r="U70" s="43">
        <v>3.206</v>
      </c>
      <c r="V70" s="42">
        <v>3.206</v>
      </c>
      <c r="W70" s="42"/>
      <c r="X70" s="42"/>
      <c r="Y70" s="41" t="s">
        <v>195</v>
      </c>
      <c r="Z70" s="41"/>
      <c r="AA70" s="41"/>
      <c r="AB70" s="41"/>
      <c r="AC70" s="41"/>
    </row>
    <row r="71" spans="1:29" x14ac:dyDescent="0.45">
      <c r="A71" s="49">
        <v>15</v>
      </c>
      <c r="B71" s="46" t="s">
        <v>194</v>
      </c>
      <c r="C71" s="46"/>
      <c r="D71" s="46"/>
      <c r="E71" s="46"/>
      <c r="F71" s="48"/>
      <c r="G71" s="46" t="s">
        <v>194</v>
      </c>
      <c r="H71" s="46"/>
      <c r="I71" s="46"/>
      <c r="J71" s="47"/>
      <c r="K71" s="47" t="s">
        <v>42</v>
      </c>
      <c r="L71" s="47" t="s">
        <v>42</v>
      </c>
      <c r="M71" s="50" t="s">
        <v>48</v>
      </c>
      <c r="N71" s="46" t="s">
        <v>193</v>
      </c>
      <c r="O71" s="46"/>
      <c r="P71" s="46" t="s">
        <v>192</v>
      </c>
      <c r="Q71" s="46"/>
      <c r="R71" s="45">
        <v>1</v>
      </c>
      <c r="S71" s="44" t="s">
        <v>94</v>
      </c>
      <c r="T71" s="43">
        <v>343</v>
      </c>
      <c r="U71" s="43">
        <v>1.452</v>
      </c>
      <c r="V71" s="42">
        <v>1.452</v>
      </c>
      <c r="W71" s="42"/>
      <c r="X71" s="42"/>
      <c r="Y71" s="41" t="s">
        <v>191</v>
      </c>
      <c r="Z71" s="41"/>
      <c r="AA71" s="41"/>
      <c r="AB71" s="41"/>
      <c r="AC71" s="41"/>
    </row>
    <row r="72" spans="1:29" ht="14.25" customHeight="1" x14ac:dyDescent="0.45">
      <c r="A72" s="54" t="s">
        <v>6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3">
        <f>SUM(R18:R71)</f>
        <v>199</v>
      </c>
      <c r="S72" s="53"/>
      <c r="T72" s="43">
        <f>SUM(T18:T71)</f>
        <v>59779.519999999997</v>
      </c>
      <c r="U72" s="43">
        <f>SUM(U18:U71)</f>
        <v>156.31499999999994</v>
      </c>
      <c r="V72" s="42">
        <f>SUM(V18:X71)</f>
        <v>156.31499999999994</v>
      </c>
      <c r="W72" s="42"/>
      <c r="X72" s="42"/>
      <c r="Y72" s="52" t="s">
        <v>129</v>
      </c>
      <c r="Z72" s="52"/>
      <c r="AA72" s="52"/>
      <c r="AB72" s="52"/>
      <c r="AC72" s="52"/>
    </row>
  </sheetData>
  <mergeCells count="369">
    <mergeCell ref="V66:X66"/>
    <mergeCell ref="V67:X67"/>
    <mergeCell ref="V68:X68"/>
    <mergeCell ref="V69:X69"/>
    <mergeCell ref="V70:X70"/>
    <mergeCell ref="V71:X71"/>
    <mergeCell ref="V72:X72"/>
    <mergeCell ref="Y57:AC57"/>
    <mergeCell ref="Y58:AC58"/>
    <mergeCell ref="Y59:AC59"/>
    <mergeCell ref="Y60:AC60"/>
    <mergeCell ref="Y61:AC61"/>
    <mergeCell ref="Y62:AC62"/>
    <mergeCell ref="Y63:AC63"/>
    <mergeCell ref="Y64:AC64"/>
    <mergeCell ref="Y65:AC65"/>
    <mergeCell ref="Y66:AC66"/>
    <mergeCell ref="Y67:AC67"/>
    <mergeCell ref="Y68:AC68"/>
    <mergeCell ref="Y69:AC69"/>
    <mergeCell ref="Y70:AC70"/>
    <mergeCell ref="Y71:AC71"/>
    <mergeCell ref="Y72:AC72"/>
    <mergeCell ref="V57:X57"/>
    <mergeCell ref="V58:X58"/>
    <mergeCell ref="V59:X59"/>
    <mergeCell ref="V60:X60"/>
    <mergeCell ref="V61:X61"/>
    <mergeCell ref="V62:X62"/>
    <mergeCell ref="V63:X63"/>
    <mergeCell ref="V64:X64"/>
    <mergeCell ref="V65:X65"/>
    <mergeCell ref="R72:S72"/>
    <mergeCell ref="P59:Q59"/>
    <mergeCell ref="P60:Q60"/>
    <mergeCell ref="P61:Q61"/>
    <mergeCell ref="P62:Q62"/>
    <mergeCell ref="P63:Q63"/>
    <mergeCell ref="P64:Q64"/>
    <mergeCell ref="P65:Q65"/>
    <mergeCell ref="P66:Q66"/>
    <mergeCell ref="P67:Q67"/>
    <mergeCell ref="N66:O66"/>
    <mergeCell ref="N67:O67"/>
    <mergeCell ref="N68:O68"/>
    <mergeCell ref="N69:O69"/>
    <mergeCell ref="N70:O70"/>
    <mergeCell ref="N71:O71"/>
    <mergeCell ref="P68:Q68"/>
    <mergeCell ref="P69:Q69"/>
    <mergeCell ref="P70:Q70"/>
    <mergeCell ref="P71:Q71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A72:Q72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G57:I57"/>
    <mergeCell ref="G58:I58"/>
    <mergeCell ref="P57:Q57"/>
    <mergeCell ref="P58:Q58"/>
    <mergeCell ref="G59:I59"/>
    <mergeCell ref="G60:I60"/>
    <mergeCell ref="G61:I61"/>
    <mergeCell ref="G62:I62"/>
    <mergeCell ref="Y54:AC54"/>
    <mergeCell ref="Y55:AC55"/>
    <mergeCell ref="Y56:AC56"/>
    <mergeCell ref="V54:X54"/>
    <mergeCell ref="V55:X55"/>
    <mergeCell ref="V56:X56"/>
    <mergeCell ref="Y38:AC38"/>
    <mergeCell ref="Y39:AC39"/>
    <mergeCell ref="Y40:AC40"/>
    <mergeCell ref="Y41:AC41"/>
    <mergeCell ref="Y42:AC42"/>
    <mergeCell ref="Y43:AC43"/>
    <mergeCell ref="Y44:AC44"/>
    <mergeCell ref="Y45:AC45"/>
    <mergeCell ref="Y46:AC46"/>
    <mergeCell ref="Y47:AC47"/>
    <mergeCell ref="Y48:AC48"/>
    <mergeCell ref="Y49:AC49"/>
    <mergeCell ref="Y51:AC51"/>
    <mergeCell ref="Y52:AC52"/>
    <mergeCell ref="Y53:AC53"/>
    <mergeCell ref="V45:X45"/>
    <mergeCell ref="V46:X46"/>
    <mergeCell ref="V47:X47"/>
    <mergeCell ref="V48:X48"/>
    <mergeCell ref="V49:X49"/>
    <mergeCell ref="V50:X50"/>
    <mergeCell ref="V51:X51"/>
    <mergeCell ref="V52:X52"/>
    <mergeCell ref="V53:X53"/>
    <mergeCell ref="V37:X37"/>
    <mergeCell ref="V38:X38"/>
    <mergeCell ref="V39:X39"/>
    <mergeCell ref="V40:X40"/>
    <mergeCell ref="V41:X41"/>
    <mergeCell ref="V42:X42"/>
    <mergeCell ref="V43:X43"/>
    <mergeCell ref="V44:X44"/>
    <mergeCell ref="Y50:AC50"/>
    <mergeCell ref="N55:O55"/>
    <mergeCell ref="N56:O56"/>
    <mergeCell ref="P37:Q37"/>
    <mergeCell ref="P38:Q38"/>
    <mergeCell ref="P39:Q39"/>
    <mergeCell ref="P40:Q40"/>
    <mergeCell ref="P41:Q41"/>
    <mergeCell ref="P51:Q51"/>
    <mergeCell ref="P52:Q52"/>
    <mergeCell ref="P53:Q53"/>
    <mergeCell ref="P54:Q54"/>
    <mergeCell ref="P55:Q55"/>
    <mergeCell ref="P56:Q56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B55:E55"/>
    <mergeCell ref="B56:E5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A2:B5"/>
    <mergeCell ref="A8:AB8"/>
    <mergeCell ref="A9:AB11"/>
    <mergeCell ref="A13:D13"/>
    <mergeCell ref="A14:D14"/>
    <mergeCell ref="A15:D15"/>
    <mergeCell ref="A16:D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Q15:S15"/>
    <mergeCell ref="R17:S17"/>
    <mergeCell ref="T13:U13"/>
    <mergeCell ref="T14:U14"/>
    <mergeCell ref="T15:U15"/>
    <mergeCell ref="T16:U16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W3:W6"/>
    <mergeCell ref="X3:AC6"/>
    <mergeCell ref="Y17:AC17"/>
    <mergeCell ref="Y18:AC18"/>
    <mergeCell ref="Y19:AC19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9:X29"/>
    <mergeCell ref="V30:X30"/>
    <mergeCell ref="V31:X31"/>
    <mergeCell ref="V32:X32"/>
    <mergeCell ref="V33:X33"/>
    <mergeCell ref="V34:X34"/>
    <mergeCell ref="V35:X35"/>
    <mergeCell ref="V36:X36"/>
    <mergeCell ref="Y37:AC37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AE9:AK15"/>
    <mergeCell ref="Y29:AC29"/>
    <mergeCell ref="Y30:AC30"/>
    <mergeCell ref="Y31:AC31"/>
    <mergeCell ref="Y32:AC32"/>
    <mergeCell ref="Y33:AC33"/>
    <mergeCell ref="Y34:AC34"/>
    <mergeCell ref="Y35:AC35"/>
    <mergeCell ref="Y36:AC36"/>
  </mergeCells>
  <phoneticPr fontId="3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노블코코 해운대</cp:lastModifiedBy>
  <dcterms:created xsi:type="dcterms:W3CDTF">2026-05-07T03:09:22Z</dcterms:created>
  <dcterms:modified xsi:type="dcterms:W3CDTF">2026-05-11T10:38:06Z</dcterms:modified>
</cp:coreProperties>
</file>