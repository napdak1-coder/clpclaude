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pda\OneDrive\바탕 화면\Downloads\NOBLECOCO_v1.4_upload_fix_1\roopang\docs\실무자_참고파일\처음준거\"/>
    </mc:Choice>
  </mc:AlternateContent>
  <xr:revisionPtr revIDLastSave="0" documentId="13_ncr:1_{D291455E-5391-4DBC-BF5B-88A6250AD84B}" xr6:coauthVersionLast="47" xr6:coauthVersionMax="47" xr10:uidLastSave="{00000000-0000-0000-0000-000000000000}"/>
  <bookViews>
    <workbookView xWindow="4043" yWindow="4043" windowWidth="30097" windowHeight="16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" i="1" l="1"/>
  <c r="U40" i="1"/>
</calcChain>
</file>

<file path=xl/sharedStrings.xml><?xml version="1.0" encoding="utf-8"?>
<sst xmlns="http://schemas.openxmlformats.org/spreadsheetml/2006/main" count="233" uniqueCount="145">
  <si>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</si>
  <si>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</si>
  <si>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</si>
  <si>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</si>
  <si>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</si>
  <si>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</si>
  <si>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</si>
  <si>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</si>
  <si>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FBSIN260288</t>
  </si>
  <si>
    <t>FBSIN260318</t>
  </si>
  <si>
    <t>FBSIN260324</t>
  </si>
  <si>
    <t>FBSIN260326</t>
  </si>
  <si>
    <t>FBSIN260341</t>
  </si>
  <si>
    <t>FBSIN260347</t>
  </si>
  <si>
    <t>FBSIN260349</t>
  </si>
  <si>
    <t>FBSIN260351</t>
  </si>
  <si>
    <t>FBSIN260353</t>
  </si>
  <si>
    <t>FBSIN260361</t>
  </si>
  <si>
    <t>FBSIN260365</t>
  </si>
  <si>
    <t>페어콘라인㈜</t>
  </si>
  <si>
    <t>서울특별시 중구 을지로 16(을지로 1가, 백남빌딩 11층)</t>
  </si>
  <si>
    <t>ABSG2600012-1</t>
  </si>
  <si>
    <t>SINOKOR MERCHANT MARINE CO., LTD.</t>
  </si>
  <si>
    <t>TIANJIN VOYAGER  / 2603S</t>
  </si>
  <si>
    <t>페어허브물류 주식회사</t>
  </si>
  <si>
    <t>DEST</t>
  </si>
  <si>
    <t>CEBU, PHILIPPINES</t>
  </si>
  <si>
    <t>FREMANTLE, AUSTRALIA</t>
  </si>
  <si>
    <t>KUCHING, MALAYSIA</t>
  </si>
  <si>
    <t>Booking No</t>
  </si>
  <si>
    <t>FBSIN260337</t>
  </si>
  <si>
    <t>FBSIN260362</t>
  </si>
  <si>
    <t>FBSIN260369</t>
  </si>
  <si>
    <t>FBSIN260370</t>
  </si>
  <si>
    <t>FBSIN260371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</si>
  <si>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</si>
  <si>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</si>
  <si>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</si>
  <si>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</si>
  <si>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</si>
  <si>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</si>
  <si>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</si>
  <si>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</si>
  <si>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</si>
  <si>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</si>
  <si>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</si>
  <si>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</si>
  <si>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메가젠임플란트</t>
  </si>
  <si>
    <t>데코론</t>
  </si>
  <si>
    <t>YKMC</t>
  </si>
  <si>
    <t>보현석재</t>
  </si>
  <si>
    <t>에이제이테크</t>
  </si>
  <si>
    <t>카페봄봄</t>
  </si>
  <si>
    <t>EXCELERATE ENERGY</t>
  </si>
  <si>
    <t>VISCOSMO</t>
  </si>
  <si>
    <t>더블유티 스프레이</t>
  </si>
  <si>
    <t>리만</t>
  </si>
  <si>
    <t>대한정밀공업</t>
  </si>
  <si>
    <t>선진뷰티사이언스</t>
  </si>
  <si>
    <t>SUNGBO INDUSTRIA</t>
  </si>
  <si>
    <t>제일기공</t>
  </si>
  <si>
    <t>웨스코</t>
  </si>
  <si>
    <t>디에스콘</t>
  </si>
  <si>
    <t>티케이테크</t>
  </si>
  <si>
    <t>40HQ</t>
  </si>
  <si>
    <t>2026-04-02</t>
  </si>
  <si>
    <t>정경일</t>
  </si>
  <si>
    <t xml:space="preserve">화주 </t>
  </si>
  <si>
    <t xml:space="preserve">미르국제운송 민정B / </t>
  </si>
  <si>
    <t xml:space="preserve">R&amp;F 이재호 / </t>
  </si>
  <si>
    <t xml:space="preserve">FCA N/퀴네 / </t>
  </si>
  <si>
    <t xml:space="preserve">N/ANS LOGISTICS / </t>
  </si>
  <si>
    <t xml:space="preserve">위너스해운항공  / </t>
  </si>
  <si>
    <t xml:space="preserve">세방익스프레스(주)/찬의 / </t>
  </si>
  <si>
    <t xml:space="preserve">스카이로드 / </t>
  </si>
  <si>
    <t xml:space="preserve">N/VISCOSMO / </t>
  </si>
  <si>
    <t xml:space="preserve">동서로지스틱스 / </t>
  </si>
  <si>
    <t xml:space="preserve">(주)이넥스해운항공 / </t>
  </si>
  <si>
    <t xml:space="preserve">N/대한정밀공업 / </t>
  </si>
  <si>
    <t xml:space="preserve">태웅로직스 / </t>
  </si>
  <si>
    <t xml:space="preserve">FCA N/성보인터내셔널 / </t>
  </si>
  <si>
    <t xml:space="preserve">이도 이솔 / </t>
  </si>
  <si>
    <t xml:space="preserve">제이에스항공해운  / </t>
  </si>
  <si>
    <t>2026-04-10</t>
  </si>
  <si>
    <t>Q'TY</t>
  </si>
  <si>
    <t>PL</t>
  </si>
  <si>
    <t>CR</t>
  </si>
  <si>
    <t>WB</t>
  </si>
  <si>
    <t>WC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</si>
  <si>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</si>
  <si>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</si>
  <si>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</si>
  <si>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</si>
  <si>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</si>
  <si>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</si>
  <si>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</si>
  <si>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</si>
  <si>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</si>
  <si>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SNKO010260302124</t>
  </si>
  <si>
    <t>SKHU9817464 / 484806</t>
  </si>
  <si>
    <t>동원글로벌터미널부산(주) (03077135)</t>
  </si>
  <si>
    <t>접안 :  2026-04-02 14:00</t>
  </si>
  <si>
    <t>ABOUT</t>
  </si>
  <si>
    <t>:</t>
  </si>
  <si>
    <t>02-772-2602</t>
  </si>
  <si>
    <t>REMARK</t>
  </si>
  <si>
    <t>112X145X165</t>
  </si>
  <si>
    <t>247x129x46(2)</t>
  </si>
  <si>
    <t>118x114x59(6) / 써차지 100불파트너청구</t>
  </si>
  <si>
    <t xml:space="preserve">180 90 27 / 1 / 190KG
128 122 84 / 1 / 506KG
135 128 132 / 1 / 1477KG
227 28 20 / 1  / 22 KG
</t>
  </si>
  <si>
    <t>128x48x74(1)</t>
  </si>
  <si>
    <t>132x120x190(1)</t>
  </si>
  <si>
    <t>163x107x67(4)</t>
  </si>
  <si>
    <t>110*110*95/운송료14만원화주청구</t>
  </si>
  <si>
    <t>81x77x144(4) , 91x66x68(1)</t>
  </si>
  <si>
    <t>*상단적재*  110x110x81(1)  / 작업사진</t>
  </si>
  <si>
    <t>110*110*100</t>
  </si>
  <si>
    <t>115x115x112(1)</t>
  </si>
  <si>
    <t>100*100*50 / 운송료 USD130 파트너청구</t>
  </si>
  <si>
    <t>366*95*103 / 장축써차지50불화주청구</t>
  </si>
  <si>
    <t>105*220*200, 135*200*155</t>
  </si>
  <si>
    <t>80*60*50X2, 110*54*65</t>
  </si>
  <si>
    <t>225*134*62</t>
  </si>
  <si>
    <t>VGM :                   KGS</t>
  </si>
  <si>
    <t>2026-03-30</t>
  </si>
  <si>
    <t>1/1</t>
  </si>
  <si>
    <t>FBSIN260294</t>
  </si>
  <si>
    <t>AWOT</t>
  </si>
  <si>
    <t xml:space="preserve">N/AWOT  / </t>
  </si>
  <si>
    <t>113x110x176(2)</t>
  </si>
  <si>
    <t>FBSIN260297</t>
  </si>
  <si>
    <t>대원산업</t>
  </si>
  <si>
    <t xml:space="preserve">N/OEC / </t>
  </si>
  <si>
    <t>120x100x145(1)</t>
  </si>
  <si>
    <t>FBSIN260339</t>
  </si>
  <si>
    <t>씨에스에프</t>
  </si>
  <si>
    <t>110*110*170/이고료12만원화주청구, 반출료 102465 화주청구</t>
  </si>
  <si>
    <t>FBSIN260346</t>
  </si>
  <si>
    <t>HD현대건설기계</t>
  </si>
  <si>
    <t xml:space="preserve">EXW N/현대인프라코어  / </t>
  </si>
  <si>
    <t>113*85*46, 110*122*110, 95*58*62</t>
  </si>
  <si>
    <t>FBSIN260359</t>
  </si>
  <si>
    <t>포컴퍼니</t>
  </si>
  <si>
    <t xml:space="preserve">N/포컴퍼니 / </t>
  </si>
  <si>
    <t>110x110x96(1) , 110x110x105(1) , 110x110x116(1) , 110x110x120(1) , 110x110x126(1) , 110x110x134(1)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</si>
</sst>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33" fillId="33" borderId="34">
      <alignment vertical="center"/>
    </xf>
  </cellStyleXfs>
  <cellXfs count="49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49" fontId="17" fillId="18" borderId="18" xfId="0" applyNumberFormat="1" applyFont="1" applyFill="1" applyBorder="1" applyAlignment="1">
      <alignment horizontal="center" vertical="center" wrapText="1"/>
    </xf>
    <xf numFmtId="0" fontId="18" fillId="19" borderId="19" xfId="0" applyFont="1" applyFill="1" applyBorder="1" applyAlignment="1">
      <alignment horizontal="right" vertical="center" wrapText="1"/>
    </xf>
    <xf numFmtId="0" fontId="19" fillId="20" borderId="20" xfId="0" applyFont="1" applyFill="1" applyBorder="1" applyAlignment="1">
      <alignment horizontal="center" vertical="center" wrapText="1"/>
    </xf>
    <xf numFmtId="0" fontId="20" fillId="21" borderId="21" xfId="0" applyFont="1" applyFill="1" applyBorder="1" applyAlignment="1">
      <alignment horizontal="center" vertical="center" wrapText="1"/>
    </xf>
    <xf numFmtId="49" fontId="22" fillId="23" borderId="23" xfId="0" applyNumberFormat="1" applyFont="1" applyFill="1" applyBorder="1" applyAlignment="1">
      <alignment horizontal="center" vertical="center" wrapText="1"/>
    </xf>
    <xf numFmtId="3" fontId="25" fillId="26" borderId="26" xfId="0" applyNumberFormat="1" applyFont="1" applyFill="1" applyBorder="1" applyAlignment="1">
      <alignment horizontal="right" vertical="center" wrapText="1"/>
    </xf>
    <xf numFmtId="4" fontId="27" fillId="28" borderId="28" xfId="0" applyNumberFormat="1" applyFont="1" applyFill="1" applyBorder="1" applyAlignment="1">
      <alignment horizontal="right" vertical="center" wrapText="1"/>
    </xf>
    <xf numFmtId="3" fontId="7" fillId="33" borderId="8" xfId="1" applyNumberFormat="1" applyFont="1" applyBorder="1" applyAlignment="1">
      <alignment horizontal="center" vertical="center" wrapText="1"/>
    </xf>
    <xf numFmtId="0" fontId="7" fillId="33" borderId="33" xfId="1" applyFont="1" applyBorder="1" applyAlignment="1">
      <alignment horizontal="center" vertical="center" wrapText="1"/>
    </xf>
    <xf numFmtId="0" fontId="20" fillId="33" borderId="33" xfId="1" applyFont="1" applyBorder="1" applyAlignment="1">
      <alignment horizontal="center" vertical="center" wrapText="1"/>
    </xf>
    <xf numFmtId="49" fontId="20" fillId="33" borderId="33" xfId="1" applyNumberFormat="1" applyFont="1" applyBorder="1" applyAlignment="1">
      <alignment horizontal="center" vertical="center" wrapText="1"/>
    </xf>
    <xf numFmtId="3" fontId="7" fillId="33" borderId="33" xfId="1" applyNumberFormat="1" applyFont="1" applyBorder="1" applyAlignment="1">
      <alignment horizontal="right" vertical="center" wrapText="1"/>
    </xf>
    <xf numFmtId="49" fontId="7" fillId="33" borderId="33" xfId="1" applyNumberFormat="1" applyFont="1" applyBorder="1" applyAlignment="1">
      <alignment horizontal="center" vertical="center" wrapText="1"/>
    </xf>
    <xf numFmtId="4" fontId="7" fillId="33" borderId="33" xfId="1" applyNumberFormat="1" applyFont="1" applyBorder="1" applyAlignment="1">
      <alignment horizontal="right" vertical="center" wrapText="1"/>
    </xf>
    <xf numFmtId="49" fontId="7" fillId="33" borderId="33" xfId="1" applyNumberFormat="1" applyFont="1" applyBorder="1" applyAlignment="1">
      <alignment horizontal="left" vertical="center" wrapText="1"/>
    </xf>
    <xf numFmtId="0" fontId="4" fillId="22" borderId="8" xfId="1" applyFont="1" applyFill="1" applyBorder="1" applyAlignment="1">
      <alignment horizontal="center" vertical="center" wrapText="1"/>
    </xf>
    <xf numFmtId="3" fontId="7" fillId="33" borderId="33" xfId="1" applyNumberFormat="1" applyFont="1" applyBorder="1" applyAlignment="1">
      <alignment horizontal="right" vertical="center" wrapText="1"/>
    </xf>
    <xf numFmtId="4" fontId="7" fillId="33" borderId="33" xfId="1" applyNumberFormat="1" applyFont="1" applyBorder="1" applyAlignment="1">
      <alignment horizontal="right" vertical="center" wrapText="1"/>
    </xf>
    <xf numFmtId="49" fontId="20" fillId="33" borderId="33" xfId="1" applyNumberFormat="1" applyFont="1" applyBorder="1" applyAlignment="1">
      <alignment horizontal="left" vertical="center" wrapText="1"/>
    </xf>
    <xf numFmtId="0" fontId="4" fillId="33" borderId="33" xfId="1" applyFont="1" applyBorder="1" applyAlignment="1">
      <alignment horizontal="left" vertical="center" wrapText="1"/>
    </xf>
    <xf numFmtId="49" fontId="31" fillId="32" borderId="32" xfId="0" applyNumberFormat="1" applyFont="1" applyFill="1" applyBorder="1" applyAlignment="1">
      <alignment horizontal="left" vertical="center" wrapText="1"/>
    </xf>
    <xf numFmtId="4" fontId="27" fillId="28" borderId="28" xfId="0" applyNumberFormat="1" applyFont="1" applyFill="1" applyBorder="1" applyAlignment="1">
      <alignment horizontal="right" vertical="center" wrapText="1"/>
    </xf>
    <xf numFmtId="0" fontId="30" fillId="31" borderId="31" xfId="0" applyFont="1" applyFill="1" applyBorder="1" applyAlignment="1">
      <alignment horizontal="center" vertical="center" wrapText="1"/>
    </xf>
    <xf numFmtId="49" fontId="28" fillId="29" borderId="29" xfId="0" applyNumberFormat="1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29" fillId="30" borderId="30" xfId="0" applyFont="1" applyFill="1" applyBorder="1" applyAlignment="1">
      <alignment horizontal="left" vertical="center" wrapText="1"/>
    </xf>
    <xf numFmtId="49" fontId="13" fillId="14" borderId="14" xfId="0" applyNumberFormat="1" applyFont="1" applyFill="1" applyBorder="1" applyAlignment="1">
      <alignment horizontal="left" vertical="center" wrapText="1"/>
    </xf>
    <xf numFmtId="49" fontId="23" fillId="24" borderId="24" xfId="0" applyNumberFormat="1" applyFont="1" applyFill="1" applyBorder="1" applyAlignment="1">
      <alignment horizontal="center" vertical="center" wrapText="1"/>
    </xf>
    <xf numFmtId="49" fontId="24" fillId="25" borderId="25" xfId="0" applyNumberFormat="1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left" vertical="center" wrapText="1"/>
    </xf>
    <xf numFmtId="0" fontId="26" fillId="27" borderId="27" xfId="0" applyFont="1" applyFill="1" applyBorder="1" applyAlignment="1">
      <alignment horizontal="left" vertical="center" wrapText="1"/>
    </xf>
    <xf numFmtId="0" fontId="21" fillId="22" borderId="22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left" vertical="center" wrapText="1"/>
    </xf>
    <xf numFmtId="49" fontId="11" fillId="12" borderId="12" xfId="0" applyNumberFormat="1" applyFont="1" applyFill="1" applyBorder="1" applyAlignment="1">
      <alignment horizontal="left" vertical="center" wrapText="1"/>
    </xf>
    <xf numFmtId="49" fontId="12" fillId="13" borderId="13" xfId="0" applyNumberFormat="1" applyFont="1" applyFill="1" applyBorder="1" applyAlignment="1">
      <alignment horizontal="left" vertical="top" wrapText="1"/>
    </xf>
    <xf numFmtId="49" fontId="14" fillId="15" borderId="15" xfId="0" applyNumberFormat="1" applyFont="1" applyFill="1" applyBorder="1" applyAlignment="1">
      <alignment horizontal="left" vertical="center" wrapText="1"/>
    </xf>
    <xf numFmtId="49" fontId="15" fillId="16" borderId="16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2" fillId="33" borderId="3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showGridLines="0" tabSelected="1" topLeftCell="A16" workbookViewId="0">
      <selection activeCell="W41" sqref="W41"/>
    </sheetView>
  </sheetViews>
  <sheetFormatPr defaultRowHeight="14.25" x14ac:dyDescent="0.45"/>
  <cols>
    <col min="1" max="1" width="4.265625" customWidth="1"/>
    <col min="2" max="2" width="3.3984375" customWidth="1"/>
    <col min="3" max="3" width="0.59765625" customWidth="1"/>
    <col min="4" max="4" width="6.59765625" customWidth="1"/>
    <col min="5" max="5" width="7.73046875" customWidth="1"/>
    <col min="6" max="6" width="9" customWidth="1"/>
    <col min="7" max="7" width="3.265625" customWidth="1"/>
    <col min="8" max="8" width="7.597656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9765625" customWidth="1"/>
    <col min="20" max="20" width="9.597656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9765625" customWidth="1"/>
    <col min="27" max="27" width="6.3984375" customWidth="1"/>
    <col min="28" max="29" width="0.73046875" customWidth="1"/>
  </cols>
  <sheetData>
    <row r="1" spans="1:29" ht="19.5" customHeight="1" x14ac:dyDescent="0.45"/>
    <row r="2" spans="1:29" ht="15" customHeight="1" x14ac:dyDescent="0.45">
      <c r="A2" s="42"/>
      <c r="B2" s="42"/>
      <c r="D2" s="38" t="s">
        <v>19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28" t="s">
        <v>96</v>
      </c>
      <c r="W2" s="28"/>
      <c r="X2" s="28"/>
      <c r="Y2" s="28"/>
      <c r="Z2" s="28"/>
      <c r="AA2" s="28"/>
      <c r="AB2" s="28"/>
      <c r="AC2" s="28"/>
    </row>
    <row r="3" spans="1:29" ht="1.5" customHeight="1" x14ac:dyDescent="0.45">
      <c r="A3" s="42"/>
      <c r="B3" s="42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0" t="s">
        <v>97</v>
      </c>
      <c r="W3" s="27" t="s">
        <v>103</v>
      </c>
      <c r="X3" s="28" t="s">
        <v>104</v>
      </c>
      <c r="Y3" s="28"/>
      <c r="Z3" s="28"/>
      <c r="AA3" s="28"/>
      <c r="AB3" s="28"/>
      <c r="AC3" s="28"/>
    </row>
    <row r="4" spans="1:29" ht="3" customHeight="1" x14ac:dyDescent="0.45">
      <c r="A4" s="42"/>
      <c r="B4" s="42"/>
      <c r="V4" s="30"/>
      <c r="W4" s="27"/>
      <c r="X4" s="28"/>
      <c r="Y4" s="28"/>
      <c r="Z4" s="28"/>
      <c r="AA4" s="28"/>
      <c r="AB4" s="28"/>
      <c r="AC4" s="28"/>
    </row>
    <row r="5" spans="1:29" ht="11.25" customHeight="1" x14ac:dyDescent="0.45">
      <c r="A5" s="42"/>
      <c r="B5" s="42"/>
      <c r="D5" s="39" t="s">
        <v>20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0"/>
      <c r="W5" s="27"/>
      <c r="X5" s="28"/>
      <c r="Y5" s="28"/>
      <c r="Z5" s="28"/>
      <c r="AA5" s="28"/>
      <c r="AB5" s="28"/>
      <c r="AC5" s="28"/>
    </row>
    <row r="6" spans="1:29" ht="2.25" customHeight="1" x14ac:dyDescent="0.45"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0"/>
      <c r="W6" s="27"/>
      <c r="X6" s="28"/>
      <c r="Y6" s="28"/>
      <c r="Z6" s="28"/>
      <c r="AA6" s="28"/>
      <c r="AB6" s="28"/>
      <c r="AC6" s="28"/>
    </row>
    <row r="7" spans="1:29" ht="1.5" customHeight="1" x14ac:dyDescent="0.45"/>
    <row r="8" spans="1:29" ht="2.25" customHeight="1" x14ac:dyDescent="0.4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</row>
    <row r="9" spans="1:29" ht="10.5" customHeight="1" x14ac:dyDescent="0.45">
      <c r="A9" s="44" t="s">
        <v>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5" t="s">
        <v>124</v>
      </c>
      <c r="AA9" s="45"/>
      <c r="AB9" s="44"/>
    </row>
    <row r="10" spans="1:29" ht="11.25" customHeight="1" x14ac:dyDescent="0.4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125</v>
      </c>
      <c r="AA10" s="44"/>
      <c r="AB10" s="44"/>
    </row>
    <row r="11" spans="1:29" ht="1.5" customHeight="1" x14ac:dyDescent="0.4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spans="1:29" ht="1.5" customHeight="1" x14ac:dyDescent="0.45"/>
    <row r="13" spans="1:29" ht="18" customHeight="1" x14ac:dyDescent="0.45">
      <c r="A13" s="46" t="s">
        <v>1</v>
      </c>
      <c r="B13" s="46"/>
      <c r="C13" s="46"/>
      <c r="D13" s="46"/>
      <c r="E13" s="31" t="s">
        <v>21</v>
      </c>
      <c r="F13" s="31"/>
      <c r="G13" s="31"/>
      <c r="H13" s="6" t="s">
        <v>35</v>
      </c>
      <c r="I13" s="31" t="s">
        <v>36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 t="s">
        <v>90</v>
      </c>
      <c r="U13" s="35"/>
      <c r="V13" s="31" t="s">
        <v>98</v>
      </c>
      <c r="W13" s="31"/>
      <c r="X13" s="31"/>
      <c r="Y13" s="31"/>
      <c r="Z13" s="31"/>
      <c r="AA13" s="31"/>
      <c r="AB13" s="31"/>
      <c r="AC13" s="31"/>
    </row>
    <row r="14" spans="1:29" ht="14.25" customHeight="1" x14ac:dyDescent="0.45">
      <c r="A14" s="47" t="s">
        <v>2</v>
      </c>
      <c r="B14" s="47"/>
      <c r="C14" s="47"/>
      <c r="D14" s="47"/>
      <c r="E14" s="40" t="s">
        <v>22</v>
      </c>
      <c r="F14" s="40"/>
      <c r="G14" s="40"/>
      <c r="H14" s="40"/>
      <c r="I14" s="40"/>
      <c r="J14" s="40"/>
      <c r="K14" s="40"/>
      <c r="L14" s="29" t="s">
        <v>40</v>
      </c>
      <c r="M14" s="29"/>
      <c r="N14" s="29"/>
      <c r="O14" s="32" t="s">
        <v>64</v>
      </c>
      <c r="P14" s="32"/>
      <c r="Q14" s="32"/>
      <c r="R14" s="32"/>
      <c r="S14" s="32"/>
      <c r="T14" s="29" t="s">
        <v>91</v>
      </c>
      <c r="U14" s="29"/>
      <c r="V14" s="32" t="s">
        <v>99</v>
      </c>
      <c r="W14" s="32"/>
      <c r="X14" s="32"/>
      <c r="Y14" s="32"/>
      <c r="Z14" s="32"/>
      <c r="AA14" s="32"/>
      <c r="AB14" s="32"/>
      <c r="AC14" s="32"/>
    </row>
    <row r="15" spans="1:29" ht="13.5" customHeight="1" x14ac:dyDescent="0.45">
      <c r="A15" s="48" t="s">
        <v>3</v>
      </c>
      <c r="B15" s="48"/>
      <c r="C15" s="48"/>
      <c r="D15" s="48"/>
      <c r="E15" s="41" t="s">
        <v>23</v>
      </c>
      <c r="F15" s="41"/>
      <c r="G15" s="41"/>
      <c r="H15" s="41"/>
      <c r="I15" s="41"/>
      <c r="J15" s="41"/>
      <c r="K15" s="41"/>
      <c r="L15" s="36" t="s">
        <v>41</v>
      </c>
      <c r="M15" s="36"/>
      <c r="N15" s="36"/>
      <c r="O15" s="33" t="s">
        <v>65</v>
      </c>
      <c r="P15" s="33"/>
      <c r="Q15" s="33" t="s">
        <v>83</v>
      </c>
      <c r="R15" s="33"/>
      <c r="S15" s="33"/>
      <c r="T15" s="36" t="s">
        <v>92</v>
      </c>
      <c r="U15" s="36"/>
      <c r="V15" s="33" t="s">
        <v>100</v>
      </c>
      <c r="W15" s="33"/>
      <c r="X15" s="33"/>
      <c r="Y15" s="33"/>
      <c r="Z15" s="33"/>
      <c r="AA15" s="33"/>
      <c r="AB15" s="33"/>
      <c r="AC15" s="33"/>
    </row>
    <row r="16" spans="1:29" ht="14.25" customHeight="1" x14ac:dyDescent="0.45">
      <c r="A16" s="48" t="s">
        <v>4</v>
      </c>
      <c r="B16" s="48"/>
      <c r="C16" s="48"/>
      <c r="D16" s="48"/>
      <c r="E16" s="41" t="s">
        <v>24</v>
      </c>
      <c r="F16" s="41"/>
      <c r="G16" s="41"/>
      <c r="H16" s="41"/>
      <c r="I16" s="41"/>
      <c r="J16" s="41"/>
      <c r="K16" s="41"/>
      <c r="L16" s="36" t="s">
        <v>42</v>
      </c>
      <c r="M16" s="36"/>
      <c r="N16" s="36"/>
      <c r="O16" s="33" t="s">
        <v>66</v>
      </c>
      <c r="P16" s="33"/>
      <c r="Q16" s="33"/>
      <c r="R16" s="33"/>
      <c r="S16" s="33"/>
      <c r="T16" s="36" t="s">
        <v>93</v>
      </c>
      <c r="U16" s="36"/>
      <c r="V16" s="33" t="s">
        <v>101</v>
      </c>
      <c r="W16" s="33"/>
      <c r="X16" s="33"/>
      <c r="Y16" s="33"/>
      <c r="Z16" s="33"/>
      <c r="AA16" s="33"/>
      <c r="AB16" s="33"/>
      <c r="AC16" s="33"/>
    </row>
    <row r="17" spans="1:29" ht="14.25" customHeight="1" x14ac:dyDescent="0.45">
      <c r="A17" s="1" t="s">
        <v>5</v>
      </c>
      <c r="B17" s="29" t="s">
        <v>7</v>
      </c>
      <c r="C17" s="29"/>
      <c r="D17" s="29"/>
      <c r="E17" s="29"/>
      <c r="F17" s="3" t="s">
        <v>25</v>
      </c>
      <c r="G17" s="29" t="s">
        <v>29</v>
      </c>
      <c r="H17" s="29"/>
      <c r="I17" s="29"/>
      <c r="J17" s="7" t="s">
        <v>37</v>
      </c>
      <c r="K17" s="7" t="s">
        <v>38</v>
      </c>
      <c r="L17" s="7" t="s">
        <v>43</v>
      </c>
      <c r="M17" s="7" t="s">
        <v>44</v>
      </c>
      <c r="N17" s="29" t="s">
        <v>46</v>
      </c>
      <c r="O17" s="29"/>
      <c r="P17" s="29" t="s">
        <v>67</v>
      </c>
      <c r="Q17" s="29"/>
      <c r="R17" s="29" t="s">
        <v>84</v>
      </c>
      <c r="S17" s="29"/>
      <c r="T17" s="3" t="s">
        <v>94</v>
      </c>
      <c r="U17" s="3" t="s">
        <v>95</v>
      </c>
      <c r="V17" s="29" t="s">
        <v>102</v>
      </c>
      <c r="W17" s="29"/>
      <c r="X17" s="29"/>
      <c r="Y17" s="29" t="s">
        <v>105</v>
      </c>
      <c r="Z17" s="29"/>
      <c r="AA17" s="29"/>
      <c r="AB17" s="29"/>
      <c r="AC17" s="29"/>
    </row>
    <row r="18" spans="1:29" ht="24" customHeight="1" x14ac:dyDescent="0.45">
      <c r="A18" s="2">
        <v>1</v>
      </c>
      <c r="B18" s="34" t="s">
        <v>8</v>
      </c>
      <c r="C18" s="34"/>
      <c r="D18" s="34"/>
      <c r="E18" s="34"/>
      <c r="F18" s="4"/>
      <c r="G18" s="34" t="s">
        <v>8</v>
      </c>
      <c r="H18" s="34"/>
      <c r="I18" s="34"/>
      <c r="J18" s="8"/>
      <c r="K18" s="8" t="s">
        <v>39</v>
      </c>
      <c r="L18" s="8" t="s">
        <v>39</v>
      </c>
      <c r="M18" s="8"/>
      <c r="N18" s="34" t="s">
        <v>47</v>
      </c>
      <c r="O18" s="34"/>
      <c r="P18" s="34" t="s">
        <v>68</v>
      </c>
      <c r="Q18" s="34"/>
      <c r="R18" s="10">
        <v>2</v>
      </c>
      <c r="S18" s="5" t="s">
        <v>85</v>
      </c>
      <c r="T18" s="11">
        <v>560</v>
      </c>
      <c r="U18" s="11">
        <v>0</v>
      </c>
      <c r="V18" s="26">
        <v>5.359</v>
      </c>
      <c r="W18" s="26"/>
      <c r="X18" s="26"/>
      <c r="Y18" s="25" t="s">
        <v>106</v>
      </c>
      <c r="Z18" s="25"/>
      <c r="AA18" s="25"/>
      <c r="AB18" s="25"/>
      <c r="AC18" s="25"/>
    </row>
    <row r="19" spans="1:29" ht="14.25" customHeight="1" x14ac:dyDescent="0.45">
      <c r="A19" s="2">
        <v>2</v>
      </c>
      <c r="B19" s="34" t="s">
        <v>9</v>
      </c>
      <c r="C19" s="34"/>
      <c r="D19" s="34"/>
      <c r="E19" s="34"/>
      <c r="F19" s="4"/>
      <c r="G19" s="34" t="s">
        <v>9</v>
      </c>
      <c r="H19" s="34"/>
      <c r="I19" s="34"/>
      <c r="J19" s="8"/>
      <c r="K19" s="8" t="s">
        <v>39</v>
      </c>
      <c r="L19" s="8" t="s">
        <v>39</v>
      </c>
      <c r="M19" s="8"/>
      <c r="N19" s="34" t="s">
        <v>48</v>
      </c>
      <c r="O19" s="34"/>
      <c r="P19" s="34" t="s">
        <v>69</v>
      </c>
      <c r="Q19" s="34"/>
      <c r="R19" s="10">
        <v>2</v>
      </c>
      <c r="S19" s="5" t="s">
        <v>85</v>
      </c>
      <c r="T19" s="11">
        <v>2350</v>
      </c>
      <c r="U19" s="11">
        <v>2.931</v>
      </c>
      <c r="V19" s="26">
        <v>2.931</v>
      </c>
      <c r="W19" s="26"/>
      <c r="X19" s="26"/>
      <c r="Y19" s="25" t="s">
        <v>107</v>
      </c>
      <c r="Z19" s="25"/>
      <c r="AA19" s="25"/>
      <c r="AB19" s="25"/>
      <c r="AC19" s="25"/>
    </row>
    <row r="20" spans="1:29" ht="21" customHeight="1" x14ac:dyDescent="0.45">
      <c r="A20" s="2">
        <v>3</v>
      </c>
      <c r="B20" s="34" t="s">
        <v>10</v>
      </c>
      <c r="C20" s="34"/>
      <c r="D20" s="34"/>
      <c r="E20" s="34"/>
      <c r="F20" s="4"/>
      <c r="G20" s="34" t="s">
        <v>10</v>
      </c>
      <c r="H20" s="34"/>
      <c r="I20" s="34"/>
      <c r="J20" s="8"/>
      <c r="K20" s="8" t="s">
        <v>39</v>
      </c>
      <c r="L20" s="8" t="s">
        <v>39</v>
      </c>
      <c r="M20" s="9" t="s">
        <v>45</v>
      </c>
      <c r="N20" s="34" t="s">
        <v>49</v>
      </c>
      <c r="O20" s="34"/>
      <c r="P20" s="34" t="s">
        <v>70</v>
      </c>
      <c r="Q20" s="34"/>
      <c r="R20" s="10">
        <v>6</v>
      </c>
      <c r="S20" s="5" t="s">
        <v>86</v>
      </c>
      <c r="T20" s="11">
        <v>2154</v>
      </c>
      <c r="U20" s="11">
        <v>4.7619999999999996</v>
      </c>
      <c r="V20" s="26">
        <v>4.7619999999999996</v>
      </c>
      <c r="W20" s="26"/>
      <c r="X20" s="26"/>
      <c r="Y20" s="25" t="s">
        <v>108</v>
      </c>
      <c r="Z20" s="25"/>
      <c r="AA20" s="25"/>
      <c r="AB20" s="25"/>
      <c r="AC20" s="25"/>
    </row>
    <row r="21" spans="1:29" ht="39.75" customHeight="1" x14ac:dyDescent="0.45">
      <c r="A21" s="2">
        <v>4</v>
      </c>
      <c r="B21" s="34" t="s">
        <v>11</v>
      </c>
      <c r="C21" s="34"/>
      <c r="D21" s="34"/>
      <c r="E21" s="34"/>
      <c r="F21" s="4"/>
      <c r="G21" s="34" t="s">
        <v>11</v>
      </c>
      <c r="H21" s="34"/>
      <c r="I21" s="34"/>
      <c r="J21" s="8"/>
      <c r="K21" s="8" t="s">
        <v>39</v>
      </c>
      <c r="L21" s="8" t="s">
        <v>39</v>
      </c>
      <c r="M21" s="9" t="s">
        <v>45</v>
      </c>
      <c r="N21" s="34" t="s">
        <v>50</v>
      </c>
      <c r="O21" s="34"/>
      <c r="P21" s="34" t="s">
        <v>71</v>
      </c>
      <c r="Q21" s="34"/>
      <c r="R21" s="10">
        <v>4</v>
      </c>
      <c r="S21" s="5" t="s">
        <v>85</v>
      </c>
      <c r="T21" s="11">
        <v>2310</v>
      </c>
      <c r="U21" s="11">
        <v>0</v>
      </c>
      <c r="V21" s="26">
        <v>4.04</v>
      </c>
      <c r="W21" s="26"/>
      <c r="X21" s="26"/>
      <c r="Y21" s="25" t="s">
        <v>109</v>
      </c>
      <c r="Z21" s="25"/>
      <c r="AA21" s="25"/>
      <c r="AB21" s="25"/>
      <c r="AC21" s="25"/>
    </row>
    <row r="22" spans="1:29" ht="24" customHeight="1" x14ac:dyDescent="0.45">
      <c r="A22" s="2">
        <v>5</v>
      </c>
      <c r="B22" s="34" t="s">
        <v>12</v>
      </c>
      <c r="C22" s="34"/>
      <c r="D22" s="34"/>
      <c r="E22" s="34"/>
      <c r="F22" s="5" t="s">
        <v>26</v>
      </c>
      <c r="G22" s="34" t="s">
        <v>12</v>
      </c>
      <c r="H22" s="34"/>
      <c r="I22" s="34"/>
      <c r="J22" s="8"/>
      <c r="K22" s="8" t="s">
        <v>39</v>
      </c>
      <c r="L22" s="8" t="s">
        <v>39</v>
      </c>
      <c r="M22" s="8"/>
      <c r="N22" s="34" t="s">
        <v>51</v>
      </c>
      <c r="O22" s="34"/>
      <c r="P22" s="34" t="s">
        <v>72</v>
      </c>
      <c r="Q22" s="34"/>
      <c r="R22" s="10">
        <v>1</v>
      </c>
      <c r="S22" s="5" t="s">
        <v>87</v>
      </c>
      <c r="T22" s="11">
        <v>500</v>
      </c>
      <c r="U22" s="11">
        <v>0.45500000000000002</v>
      </c>
      <c r="V22" s="26">
        <v>0.45500000000000002</v>
      </c>
      <c r="W22" s="26"/>
      <c r="X22" s="26"/>
      <c r="Y22" s="25" t="s">
        <v>110</v>
      </c>
      <c r="Z22" s="25"/>
      <c r="AA22" s="25"/>
      <c r="AB22" s="25"/>
      <c r="AC22" s="25"/>
    </row>
    <row r="23" spans="1:29" ht="23.25" customHeight="1" x14ac:dyDescent="0.45">
      <c r="A23" s="2">
        <v>6</v>
      </c>
      <c r="B23" s="34" t="s">
        <v>13</v>
      </c>
      <c r="C23" s="34"/>
      <c r="D23" s="34"/>
      <c r="E23" s="34"/>
      <c r="F23" s="4"/>
      <c r="G23" s="34" t="s">
        <v>13</v>
      </c>
      <c r="H23" s="34"/>
      <c r="I23" s="34"/>
      <c r="J23" s="8"/>
      <c r="K23" s="8" t="s">
        <v>39</v>
      </c>
      <c r="L23" s="8" t="s">
        <v>39</v>
      </c>
      <c r="M23" s="8"/>
      <c r="N23" s="34" t="s">
        <v>52</v>
      </c>
      <c r="O23" s="34"/>
      <c r="P23" s="34" t="s">
        <v>73</v>
      </c>
      <c r="Q23" s="34"/>
      <c r="R23" s="10">
        <v>1</v>
      </c>
      <c r="S23" s="5" t="s">
        <v>85</v>
      </c>
      <c r="T23" s="11">
        <v>422</v>
      </c>
      <c r="U23" s="11">
        <v>3.01</v>
      </c>
      <c r="V23" s="26">
        <v>3.01</v>
      </c>
      <c r="W23" s="26"/>
      <c r="X23" s="26"/>
      <c r="Y23" s="25" t="s">
        <v>111</v>
      </c>
      <c r="Z23" s="25"/>
      <c r="AA23" s="25"/>
      <c r="AB23" s="25"/>
      <c r="AC23" s="25"/>
    </row>
    <row r="24" spans="1:29" ht="15" customHeight="1" x14ac:dyDescent="0.45">
      <c r="A24" s="2">
        <v>7</v>
      </c>
      <c r="B24" s="34" t="s">
        <v>14</v>
      </c>
      <c r="C24" s="34"/>
      <c r="D24" s="34"/>
      <c r="E24" s="34"/>
      <c r="F24" s="4"/>
      <c r="G24" s="34" t="s">
        <v>14</v>
      </c>
      <c r="H24" s="34"/>
      <c r="I24" s="34"/>
      <c r="J24" s="8"/>
      <c r="K24" s="8" t="s">
        <v>39</v>
      </c>
      <c r="L24" s="8" t="s">
        <v>39</v>
      </c>
      <c r="M24" s="8"/>
      <c r="N24" s="34" t="s">
        <v>53</v>
      </c>
      <c r="O24" s="34"/>
      <c r="P24" s="34" t="s">
        <v>74</v>
      </c>
      <c r="Q24" s="34"/>
      <c r="R24" s="10">
        <v>4</v>
      </c>
      <c r="S24" s="5" t="s">
        <v>87</v>
      </c>
      <c r="T24" s="11">
        <v>2707</v>
      </c>
      <c r="U24" s="11">
        <v>4.6740000000000004</v>
      </c>
      <c r="V24" s="26">
        <v>4.6740000000000004</v>
      </c>
      <c r="W24" s="26"/>
      <c r="X24" s="26"/>
      <c r="Y24" s="25" t="s">
        <v>112</v>
      </c>
      <c r="Z24" s="25"/>
      <c r="AA24" s="25"/>
      <c r="AB24" s="25"/>
      <c r="AC24" s="25"/>
    </row>
    <row r="25" spans="1:29" ht="14.25" customHeight="1" x14ac:dyDescent="0.45">
      <c r="A25" s="2">
        <v>8</v>
      </c>
      <c r="B25" s="34" t="s">
        <v>15</v>
      </c>
      <c r="C25" s="34"/>
      <c r="D25" s="34"/>
      <c r="E25" s="34"/>
      <c r="F25" s="4"/>
      <c r="G25" s="34" t="s">
        <v>15</v>
      </c>
      <c r="H25" s="34"/>
      <c r="I25" s="34"/>
      <c r="J25" s="8"/>
      <c r="K25" s="8" t="s">
        <v>39</v>
      </c>
      <c r="L25" s="8" t="s">
        <v>39</v>
      </c>
      <c r="M25" s="9" t="s">
        <v>45</v>
      </c>
      <c r="N25" s="34" t="s">
        <v>54</v>
      </c>
      <c r="O25" s="34"/>
      <c r="P25" s="34" t="s">
        <v>75</v>
      </c>
      <c r="Q25" s="34"/>
      <c r="R25" s="10">
        <v>1</v>
      </c>
      <c r="S25" s="5" t="s">
        <v>85</v>
      </c>
      <c r="T25" s="11">
        <v>310</v>
      </c>
      <c r="U25" s="11">
        <v>0</v>
      </c>
      <c r="V25" s="26">
        <v>1</v>
      </c>
      <c r="W25" s="26"/>
      <c r="X25" s="26"/>
      <c r="Y25" s="25" t="s">
        <v>113</v>
      </c>
      <c r="Z25" s="25"/>
      <c r="AA25" s="25"/>
      <c r="AB25" s="25"/>
      <c r="AC25" s="25"/>
    </row>
    <row r="26" spans="1:29" ht="14.25" customHeight="1" x14ac:dyDescent="0.45">
      <c r="A26" s="2">
        <v>9</v>
      </c>
      <c r="B26" s="34" t="s">
        <v>16</v>
      </c>
      <c r="C26" s="34"/>
      <c r="D26" s="34"/>
      <c r="E26" s="34"/>
      <c r="F26" s="4"/>
      <c r="G26" s="34" t="s">
        <v>16</v>
      </c>
      <c r="H26" s="34"/>
      <c r="I26" s="34"/>
      <c r="J26" s="8"/>
      <c r="K26" s="8" t="s">
        <v>39</v>
      </c>
      <c r="L26" s="8" t="s">
        <v>39</v>
      </c>
      <c r="M26" s="8"/>
      <c r="N26" s="34" t="s">
        <v>55</v>
      </c>
      <c r="O26" s="34"/>
      <c r="P26" s="34" t="s">
        <v>76</v>
      </c>
      <c r="Q26" s="34"/>
      <c r="R26" s="10">
        <v>5</v>
      </c>
      <c r="S26" s="5" t="s">
        <v>85</v>
      </c>
      <c r="T26" s="11">
        <v>550</v>
      </c>
      <c r="U26" s="11">
        <v>4.0010000000000003</v>
      </c>
      <c r="V26" s="26">
        <v>4.0010000000000003</v>
      </c>
      <c r="W26" s="26"/>
      <c r="X26" s="26"/>
      <c r="Y26" s="25" t="s">
        <v>114</v>
      </c>
      <c r="Z26" s="25"/>
      <c r="AA26" s="25"/>
      <c r="AB26" s="25"/>
      <c r="AC26" s="25"/>
    </row>
    <row r="27" spans="1:29" ht="21" customHeight="1" x14ac:dyDescent="0.45">
      <c r="A27" s="2">
        <v>10</v>
      </c>
      <c r="B27" s="34" t="s">
        <v>17</v>
      </c>
      <c r="C27" s="34"/>
      <c r="D27" s="34"/>
      <c r="E27" s="34"/>
      <c r="F27" s="4"/>
      <c r="G27" s="34" t="s">
        <v>17</v>
      </c>
      <c r="H27" s="34"/>
      <c r="I27" s="34"/>
      <c r="J27" s="8"/>
      <c r="K27" s="8" t="s">
        <v>39</v>
      </c>
      <c r="L27" s="8" t="s">
        <v>39</v>
      </c>
      <c r="M27" s="8"/>
      <c r="N27" s="34" t="s">
        <v>56</v>
      </c>
      <c r="O27" s="34"/>
      <c r="P27" s="34" t="s">
        <v>77</v>
      </c>
      <c r="Q27" s="34"/>
      <c r="R27" s="10">
        <v>1</v>
      </c>
      <c r="S27" s="4"/>
      <c r="T27" s="11">
        <v>92</v>
      </c>
      <c r="U27" s="11">
        <v>0.98</v>
      </c>
      <c r="V27" s="26">
        <v>0.98</v>
      </c>
      <c r="W27" s="26"/>
      <c r="X27" s="26"/>
      <c r="Y27" s="25" t="s">
        <v>115</v>
      </c>
      <c r="Z27" s="25"/>
      <c r="AA27" s="25"/>
      <c r="AB27" s="25"/>
      <c r="AC27" s="25"/>
    </row>
    <row r="28" spans="1:29" ht="14.25" customHeight="1" x14ac:dyDescent="0.45">
      <c r="A28" s="2">
        <v>11</v>
      </c>
      <c r="B28" s="34" t="s">
        <v>18</v>
      </c>
      <c r="C28" s="34"/>
      <c r="D28" s="34"/>
      <c r="E28" s="34"/>
      <c r="F28" s="4"/>
      <c r="G28" s="34" t="s">
        <v>18</v>
      </c>
      <c r="H28" s="34"/>
      <c r="I28" s="34"/>
      <c r="J28" s="8"/>
      <c r="K28" s="8" t="s">
        <v>39</v>
      </c>
      <c r="L28" s="8" t="s">
        <v>39</v>
      </c>
      <c r="M28" s="9" t="s">
        <v>45</v>
      </c>
      <c r="N28" s="34" t="s">
        <v>57</v>
      </c>
      <c r="O28" s="34"/>
      <c r="P28" s="34" t="s">
        <v>78</v>
      </c>
      <c r="Q28" s="34"/>
      <c r="R28" s="10">
        <v>1</v>
      </c>
      <c r="S28" s="5" t="s">
        <v>85</v>
      </c>
      <c r="T28" s="11">
        <v>585.9</v>
      </c>
      <c r="U28" s="11">
        <v>0</v>
      </c>
      <c r="V28" s="26">
        <v>1.21</v>
      </c>
      <c r="W28" s="26"/>
      <c r="X28" s="26"/>
      <c r="Y28" s="25" t="s">
        <v>116</v>
      </c>
      <c r="Z28" s="25"/>
      <c r="AA28" s="25"/>
      <c r="AB28" s="25"/>
      <c r="AC28" s="25"/>
    </row>
    <row r="29" spans="1:29" ht="24" customHeight="1" x14ac:dyDescent="0.45">
      <c r="A29" s="2">
        <v>12</v>
      </c>
      <c r="B29" s="37"/>
      <c r="C29" s="37"/>
      <c r="D29" s="37"/>
      <c r="E29" s="37"/>
      <c r="F29" s="5" t="s">
        <v>27</v>
      </c>
      <c r="G29" s="34" t="s">
        <v>30</v>
      </c>
      <c r="H29" s="34"/>
      <c r="I29" s="34"/>
      <c r="J29" s="8"/>
      <c r="K29" s="8" t="s">
        <v>39</v>
      </c>
      <c r="L29" s="8" t="s">
        <v>39</v>
      </c>
      <c r="M29" s="8"/>
      <c r="N29" s="34" t="s">
        <v>58</v>
      </c>
      <c r="O29" s="34"/>
      <c r="P29" s="34" t="s">
        <v>79</v>
      </c>
      <c r="Q29" s="34"/>
      <c r="R29" s="10">
        <v>1</v>
      </c>
      <c r="S29" s="5" t="s">
        <v>85</v>
      </c>
      <c r="T29" s="11">
        <v>760</v>
      </c>
      <c r="U29" s="11">
        <v>1.4810000000000001</v>
      </c>
      <c r="V29" s="26">
        <v>1.4810000000000001</v>
      </c>
      <c r="W29" s="26"/>
      <c r="X29" s="26"/>
      <c r="Y29" s="25" t="s">
        <v>117</v>
      </c>
      <c r="Z29" s="25"/>
      <c r="AA29" s="25"/>
      <c r="AB29" s="25"/>
      <c r="AC29" s="25"/>
    </row>
    <row r="30" spans="1:29" ht="24" customHeight="1" x14ac:dyDescent="0.45">
      <c r="A30" s="2">
        <v>13</v>
      </c>
      <c r="B30" s="37"/>
      <c r="C30" s="37"/>
      <c r="D30" s="37"/>
      <c r="E30" s="37"/>
      <c r="F30" s="4"/>
      <c r="G30" s="34" t="s">
        <v>31</v>
      </c>
      <c r="H30" s="34"/>
      <c r="I30" s="34"/>
      <c r="J30" s="8"/>
      <c r="K30" s="8" t="s">
        <v>39</v>
      </c>
      <c r="L30" s="8" t="s">
        <v>39</v>
      </c>
      <c r="M30" s="8"/>
      <c r="N30" s="34" t="s">
        <v>59</v>
      </c>
      <c r="O30" s="34"/>
      <c r="P30" s="34" t="s">
        <v>80</v>
      </c>
      <c r="Q30" s="34"/>
      <c r="R30" s="10">
        <v>3</v>
      </c>
      <c r="S30" s="5" t="s">
        <v>88</v>
      </c>
      <c r="T30" s="11">
        <v>2000</v>
      </c>
      <c r="U30" s="11">
        <v>0</v>
      </c>
      <c r="V30" s="26">
        <v>1.44</v>
      </c>
      <c r="W30" s="26"/>
      <c r="X30" s="26"/>
      <c r="Y30" s="25" t="s">
        <v>118</v>
      </c>
      <c r="Z30" s="25"/>
      <c r="AA30" s="25"/>
      <c r="AB30" s="25"/>
      <c r="AC30" s="25"/>
    </row>
    <row r="31" spans="1:29" ht="23.25" customHeight="1" x14ac:dyDescent="0.45">
      <c r="A31" s="2">
        <v>14</v>
      </c>
      <c r="B31" s="37"/>
      <c r="C31" s="37"/>
      <c r="D31" s="37"/>
      <c r="E31" s="37"/>
      <c r="F31" s="5" t="s">
        <v>28</v>
      </c>
      <c r="G31" s="34" t="s">
        <v>32</v>
      </c>
      <c r="H31" s="34"/>
      <c r="I31" s="34"/>
      <c r="J31" s="8"/>
      <c r="K31" s="8" t="s">
        <v>39</v>
      </c>
      <c r="L31" s="8" t="s">
        <v>39</v>
      </c>
      <c r="M31" s="8"/>
      <c r="N31" s="34" t="s">
        <v>60</v>
      </c>
      <c r="O31" s="34"/>
      <c r="P31" s="34" t="s">
        <v>81</v>
      </c>
      <c r="Q31" s="34"/>
      <c r="R31" s="10">
        <v>1</v>
      </c>
      <c r="S31" s="5" t="s">
        <v>85</v>
      </c>
      <c r="T31" s="11">
        <v>632</v>
      </c>
      <c r="U31" s="11">
        <v>0</v>
      </c>
      <c r="V31" s="26">
        <v>3.581</v>
      </c>
      <c r="W31" s="26"/>
      <c r="X31" s="26"/>
      <c r="Y31" s="25" t="s">
        <v>119</v>
      </c>
      <c r="Z31" s="25"/>
      <c r="AA31" s="25"/>
      <c r="AB31" s="25"/>
      <c r="AC31" s="25"/>
    </row>
    <row r="32" spans="1:29" ht="24" customHeight="1" x14ac:dyDescent="0.45">
      <c r="A32" s="2">
        <v>15</v>
      </c>
      <c r="B32" s="37"/>
      <c r="C32" s="37"/>
      <c r="D32" s="37"/>
      <c r="E32" s="37"/>
      <c r="F32" s="5" t="s">
        <v>28</v>
      </c>
      <c r="G32" s="34" t="s">
        <v>33</v>
      </c>
      <c r="H32" s="34"/>
      <c r="I32" s="34"/>
      <c r="J32" s="8"/>
      <c r="K32" s="8" t="s">
        <v>39</v>
      </c>
      <c r="L32" s="8" t="s">
        <v>39</v>
      </c>
      <c r="M32" s="8"/>
      <c r="N32" s="34" t="s">
        <v>61</v>
      </c>
      <c r="O32" s="34"/>
      <c r="P32" s="34" t="s">
        <v>82</v>
      </c>
      <c r="Q32" s="34"/>
      <c r="R32" s="10">
        <v>2</v>
      </c>
      <c r="S32" s="5" t="s">
        <v>85</v>
      </c>
      <c r="T32" s="11">
        <v>1848</v>
      </c>
      <c r="U32" s="11">
        <v>0</v>
      </c>
      <c r="V32" s="26">
        <v>8.9</v>
      </c>
      <c r="W32" s="26"/>
      <c r="X32" s="26"/>
      <c r="Y32" s="25" t="s">
        <v>120</v>
      </c>
      <c r="Z32" s="25"/>
      <c r="AA32" s="25"/>
      <c r="AB32" s="25"/>
      <c r="AC32" s="25"/>
    </row>
    <row r="33" spans="1:29" ht="24" customHeight="1" x14ac:dyDescent="0.45">
      <c r="A33" s="2">
        <v>16</v>
      </c>
      <c r="B33" s="37"/>
      <c r="C33" s="37"/>
      <c r="D33" s="37"/>
      <c r="E33" s="37"/>
      <c r="F33" s="5" t="s">
        <v>28</v>
      </c>
      <c r="G33" s="34" t="s">
        <v>34</v>
      </c>
      <c r="H33" s="34"/>
      <c r="I33" s="34"/>
      <c r="J33" s="8"/>
      <c r="K33" s="8" t="s">
        <v>39</v>
      </c>
      <c r="L33" s="8" t="s">
        <v>39</v>
      </c>
      <c r="M33" s="8"/>
      <c r="N33" s="34" t="s">
        <v>62</v>
      </c>
      <c r="O33" s="34"/>
      <c r="P33" s="34" t="s">
        <v>79</v>
      </c>
      <c r="Q33" s="34"/>
      <c r="R33" s="10">
        <v>3</v>
      </c>
      <c r="S33" s="4"/>
      <c r="T33" s="11">
        <v>1200</v>
      </c>
      <c r="U33" s="11">
        <v>0</v>
      </c>
      <c r="V33" s="26">
        <v>1</v>
      </c>
      <c r="W33" s="26"/>
      <c r="X33" s="26"/>
      <c r="Y33" s="25" t="s">
        <v>121</v>
      </c>
      <c r="Z33" s="25"/>
      <c r="AA33" s="25"/>
      <c r="AB33" s="25"/>
      <c r="AC33" s="25"/>
    </row>
    <row r="34" spans="1:29" ht="23.25" customHeight="1" x14ac:dyDescent="0.45">
      <c r="A34" s="2">
        <v>17</v>
      </c>
      <c r="B34" s="37"/>
      <c r="C34" s="37"/>
      <c r="D34" s="37"/>
      <c r="E34" s="37"/>
      <c r="F34" s="5" t="s">
        <v>28</v>
      </c>
      <c r="G34" s="34" t="s">
        <v>34</v>
      </c>
      <c r="H34" s="34"/>
      <c r="I34" s="34"/>
      <c r="J34" s="8"/>
      <c r="K34" s="8" t="s">
        <v>39</v>
      </c>
      <c r="L34" s="8" t="s">
        <v>39</v>
      </c>
      <c r="M34" s="8"/>
      <c r="N34" s="34" t="s">
        <v>63</v>
      </c>
      <c r="O34" s="34"/>
      <c r="P34" s="34" t="s">
        <v>79</v>
      </c>
      <c r="Q34" s="34"/>
      <c r="R34" s="10">
        <v>1</v>
      </c>
      <c r="S34" s="5" t="s">
        <v>89</v>
      </c>
      <c r="T34" s="11">
        <v>710</v>
      </c>
      <c r="U34" s="11">
        <v>0</v>
      </c>
      <c r="V34" s="26">
        <v>1.869</v>
      </c>
      <c r="W34" s="26"/>
      <c r="X34" s="26"/>
      <c r="Y34" s="25" t="s">
        <v>122</v>
      </c>
      <c r="Z34" s="25"/>
      <c r="AA34" s="25"/>
      <c r="AB34" s="25"/>
      <c r="AC34" s="25"/>
    </row>
    <row r="35" spans="1:29" x14ac:dyDescent="0.45">
      <c r="A35" s="12">
        <v>18</v>
      </c>
      <c r="B35" s="19" t="s">
        <v>126</v>
      </c>
      <c r="C35" s="19"/>
      <c r="D35" s="19"/>
      <c r="E35" s="19"/>
      <c r="F35" s="13"/>
      <c r="G35" s="19" t="s">
        <v>126</v>
      </c>
      <c r="H35" s="19"/>
      <c r="I35" s="19"/>
      <c r="J35" s="14"/>
      <c r="K35" s="14" t="s">
        <v>39</v>
      </c>
      <c r="L35" s="14" t="s">
        <v>39</v>
      </c>
      <c r="M35" s="15" t="s">
        <v>45</v>
      </c>
      <c r="N35" s="19" t="s">
        <v>127</v>
      </c>
      <c r="O35" s="19"/>
      <c r="P35" s="19" t="s">
        <v>128</v>
      </c>
      <c r="Q35" s="19"/>
      <c r="R35" s="16">
        <v>2</v>
      </c>
      <c r="S35" s="17" t="s">
        <v>85</v>
      </c>
      <c r="T35" s="18">
        <v>1324</v>
      </c>
      <c r="U35" s="18">
        <v>4.375</v>
      </c>
      <c r="V35" s="22">
        <v>4.375</v>
      </c>
      <c r="W35" s="22"/>
      <c r="X35" s="22"/>
      <c r="Y35" s="23" t="s">
        <v>129</v>
      </c>
      <c r="Z35" s="23"/>
      <c r="AA35" s="23"/>
      <c r="AB35" s="23"/>
      <c r="AC35" s="23"/>
    </row>
    <row r="36" spans="1:29" x14ac:dyDescent="0.45">
      <c r="A36" s="2">
        <v>19</v>
      </c>
      <c r="B36" s="19" t="s">
        <v>130</v>
      </c>
      <c r="C36" s="19"/>
      <c r="D36" s="19"/>
      <c r="E36" s="19"/>
      <c r="F36" s="13"/>
      <c r="G36" s="19" t="s">
        <v>130</v>
      </c>
      <c r="H36" s="19"/>
      <c r="I36" s="19"/>
      <c r="J36" s="14"/>
      <c r="K36" s="14" t="s">
        <v>39</v>
      </c>
      <c r="L36" s="14" t="s">
        <v>39</v>
      </c>
      <c r="M36" s="15" t="s">
        <v>45</v>
      </c>
      <c r="N36" s="19" t="s">
        <v>131</v>
      </c>
      <c r="O36" s="19"/>
      <c r="P36" s="19" t="s">
        <v>132</v>
      </c>
      <c r="Q36" s="19"/>
      <c r="R36" s="16">
        <v>1</v>
      </c>
      <c r="S36" s="17" t="s">
        <v>85</v>
      </c>
      <c r="T36" s="18">
        <v>486</v>
      </c>
      <c r="U36" s="18">
        <v>1.74</v>
      </c>
      <c r="V36" s="22">
        <v>1.74</v>
      </c>
      <c r="W36" s="22"/>
      <c r="X36" s="22"/>
      <c r="Y36" s="23" t="s">
        <v>133</v>
      </c>
      <c r="Z36" s="23"/>
      <c r="AA36" s="23"/>
      <c r="AB36" s="23"/>
      <c r="AC36" s="23"/>
    </row>
    <row r="37" spans="1:29" ht="16.5" customHeight="1" x14ac:dyDescent="0.45">
      <c r="A37" s="12">
        <v>20</v>
      </c>
      <c r="B37" s="19" t="s">
        <v>134</v>
      </c>
      <c r="C37" s="19"/>
      <c r="D37" s="19"/>
      <c r="E37" s="19"/>
      <c r="F37" s="13"/>
      <c r="G37" s="19" t="s">
        <v>134</v>
      </c>
      <c r="H37" s="19"/>
      <c r="I37" s="19"/>
      <c r="J37" s="14"/>
      <c r="K37" s="14" t="s">
        <v>39</v>
      </c>
      <c r="L37" s="14" t="s">
        <v>39</v>
      </c>
      <c r="M37" s="15" t="s">
        <v>45</v>
      </c>
      <c r="N37" s="19" t="s">
        <v>135</v>
      </c>
      <c r="O37" s="19"/>
      <c r="P37" s="19" t="s">
        <v>132</v>
      </c>
      <c r="Q37" s="19"/>
      <c r="R37" s="16">
        <v>3</v>
      </c>
      <c r="S37" s="17" t="s">
        <v>85</v>
      </c>
      <c r="T37" s="18">
        <v>1898</v>
      </c>
      <c r="U37" s="18">
        <v>6.21</v>
      </c>
      <c r="V37" s="22">
        <v>6.21</v>
      </c>
      <c r="W37" s="22"/>
      <c r="X37" s="22"/>
      <c r="Y37" s="23" t="s">
        <v>136</v>
      </c>
      <c r="Z37" s="23"/>
      <c r="AA37" s="23"/>
      <c r="AB37" s="23"/>
      <c r="AC37" s="23"/>
    </row>
    <row r="38" spans="1:29" ht="16.5" customHeight="1" x14ac:dyDescent="0.45">
      <c r="A38" s="2">
        <v>21</v>
      </c>
      <c r="B38" s="19" t="s">
        <v>137</v>
      </c>
      <c r="C38" s="19"/>
      <c r="D38" s="19"/>
      <c r="E38" s="19"/>
      <c r="F38" s="13"/>
      <c r="G38" s="19" t="s">
        <v>137</v>
      </c>
      <c r="H38" s="19"/>
      <c r="I38" s="19"/>
      <c r="J38" s="14"/>
      <c r="K38" s="14" t="s">
        <v>39</v>
      </c>
      <c r="L38" s="14" t="s">
        <v>39</v>
      </c>
      <c r="M38" s="15" t="s">
        <v>45</v>
      </c>
      <c r="N38" s="19" t="s">
        <v>138</v>
      </c>
      <c r="O38" s="19"/>
      <c r="P38" s="19" t="s">
        <v>139</v>
      </c>
      <c r="Q38" s="19"/>
      <c r="R38" s="16">
        <v>4</v>
      </c>
      <c r="S38" s="13"/>
      <c r="T38" s="18">
        <v>445</v>
      </c>
      <c r="U38" s="18">
        <v>2.3260000000000001</v>
      </c>
      <c r="V38" s="22">
        <v>2.3260000000000001</v>
      </c>
      <c r="W38" s="22"/>
      <c r="X38" s="22"/>
      <c r="Y38" s="23" t="s">
        <v>140</v>
      </c>
      <c r="Z38" s="23"/>
      <c r="AA38" s="23"/>
      <c r="AB38" s="23"/>
      <c r="AC38" s="23"/>
    </row>
    <row r="39" spans="1:29" ht="16.5" customHeight="1" x14ac:dyDescent="0.45">
      <c r="A39" s="12">
        <v>22</v>
      </c>
      <c r="B39" s="19" t="s">
        <v>141</v>
      </c>
      <c r="C39" s="19"/>
      <c r="D39" s="19"/>
      <c r="E39" s="19"/>
      <c r="F39" s="13"/>
      <c r="G39" s="19" t="s">
        <v>141</v>
      </c>
      <c r="H39" s="19"/>
      <c r="I39" s="19"/>
      <c r="J39" s="14"/>
      <c r="K39" s="14" t="s">
        <v>39</v>
      </c>
      <c r="L39" s="14" t="s">
        <v>39</v>
      </c>
      <c r="M39" s="15" t="s">
        <v>45</v>
      </c>
      <c r="N39" s="19" t="s">
        <v>142</v>
      </c>
      <c r="O39" s="19"/>
      <c r="P39" s="19" t="s">
        <v>143</v>
      </c>
      <c r="Q39" s="19"/>
      <c r="R39" s="16">
        <v>6</v>
      </c>
      <c r="S39" s="17" t="s">
        <v>85</v>
      </c>
      <c r="T39" s="18">
        <v>1828</v>
      </c>
      <c r="U39" s="18">
        <v>8.4339999999999993</v>
      </c>
      <c r="V39" s="22">
        <v>8.4339999999999993</v>
      </c>
      <c r="W39" s="22"/>
      <c r="X39" s="22"/>
      <c r="Y39" s="23" t="s">
        <v>144</v>
      </c>
      <c r="Z39" s="23"/>
      <c r="AA39" s="23"/>
      <c r="AB39" s="23"/>
      <c r="AC39" s="23"/>
    </row>
    <row r="40" spans="1:29" ht="16.5" customHeight="1" x14ac:dyDescent="0.45">
      <c r="A40" s="20" t="s">
        <v>6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  <c r="S40" s="21"/>
      <c r="T40" s="18">
        <f>SUM(T18:T39)</f>
        <v>25671.9</v>
      </c>
      <c r="U40" s="18">
        <f>SUM(U18:U39)</f>
        <v>45.378999999999998</v>
      </c>
      <c r="V40" s="22">
        <v>73.78</v>
      </c>
      <c r="W40" s="22"/>
      <c r="X40" s="22"/>
      <c r="Y40" s="24" t="s">
        <v>123</v>
      </c>
      <c r="Z40" s="24"/>
      <c r="AA40" s="24"/>
      <c r="AB40" s="24"/>
      <c r="AC40" s="24"/>
    </row>
  </sheetData>
  <mergeCells count="176">
    <mergeCell ref="B31:E31"/>
    <mergeCell ref="B32:E32"/>
    <mergeCell ref="G30:I30"/>
    <mergeCell ref="G31:I31"/>
    <mergeCell ref="G32:I32"/>
    <mergeCell ref="A2:B5"/>
    <mergeCell ref="A8:AB8"/>
    <mergeCell ref="A9:AB11"/>
    <mergeCell ref="A13:D13"/>
    <mergeCell ref="A14:D14"/>
    <mergeCell ref="A15:D15"/>
    <mergeCell ref="A16:D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N32:O32"/>
    <mergeCell ref="N33:O33"/>
    <mergeCell ref="N34:O34"/>
    <mergeCell ref="B33:E33"/>
    <mergeCell ref="B34:E34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P20:Q20"/>
    <mergeCell ref="P21:Q21"/>
    <mergeCell ref="P22:Q22"/>
    <mergeCell ref="G33:I33"/>
    <mergeCell ref="G34:I34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P32:Q32"/>
    <mergeCell ref="P33:Q33"/>
    <mergeCell ref="P34:Q34"/>
    <mergeCell ref="Q15:S15"/>
    <mergeCell ref="R17:S17"/>
    <mergeCell ref="T13:U13"/>
    <mergeCell ref="T14:U14"/>
    <mergeCell ref="T15:U15"/>
    <mergeCell ref="T16:U16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O14:S14"/>
    <mergeCell ref="O15:P15"/>
    <mergeCell ref="O16:S16"/>
    <mergeCell ref="P17:Q17"/>
    <mergeCell ref="P18:Q18"/>
    <mergeCell ref="P19:Q19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32:AC32"/>
    <mergeCell ref="Y33:AC33"/>
    <mergeCell ref="Y34:AC34"/>
    <mergeCell ref="V37:X37"/>
    <mergeCell ref="V29:X29"/>
    <mergeCell ref="V30:X30"/>
    <mergeCell ref="V31:X31"/>
    <mergeCell ref="V32:X32"/>
    <mergeCell ref="V33:X33"/>
    <mergeCell ref="V34:X34"/>
    <mergeCell ref="R40:S40"/>
    <mergeCell ref="P36:Q36"/>
    <mergeCell ref="P37:Q37"/>
    <mergeCell ref="P38:Q38"/>
    <mergeCell ref="P39:Q39"/>
    <mergeCell ref="V38:X38"/>
    <mergeCell ref="V39:X39"/>
    <mergeCell ref="V40:X40"/>
    <mergeCell ref="Y35:AC35"/>
    <mergeCell ref="Y36:AC36"/>
    <mergeCell ref="Y37:AC37"/>
    <mergeCell ref="Y38:AC38"/>
    <mergeCell ref="Y39:AC39"/>
    <mergeCell ref="Y40:AC40"/>
    <mergeCell ref="V35:X35"/>
    <mergeCell ref="V36:X36"/>
    <mergeCell ref="P35:Q35"/>
    <mergeCell ref="A40:Q40"/>
    <mergeCell ref="B35:E35"/>
    <mergeCell ref="B36:E36"/>
    <mergeCell ref="B37:E37"/>
    <mergeCell ref="B38:E38"/>
    <mergeCell ref="B39:E39"/>
    <mergeCell ref="G35:I35"/>
    <mergeCell ref="G36:I36"/>
    <mergeCell ref="G37:I37"/>
    <mergeCell ref="G38:I38"/>
    <mergeCell ref="G39:I39"/>
    <mergeCell ref="N35:O35"/>
    <mergeCell ref="N36:O36"/>
    <mergeCell ref="N37:O37"/>
    <mergeCell ref="N38:O38"/>
    <mergeCell ref="N39:O39"/>
  </mergeCells>
  <phoneticPr fontId="3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노블코코 해운대</cp:lastModifiedBy>
  <dcterms:created xsi:type="dcterms:W3CDTF">2026-03-30T08:22:35Z</dcterms:created>
  <dcterms:modified xsi:type="dcterms:W3CDTF">2026-04-22T06:21:11Z</dcterms:modified>
</cp:coreProperties>
</file>